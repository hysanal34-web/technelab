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ŞLA" sheetId="1" state="visible" r:id="rId1"/>
    <sheet name="MELİS GÜNLÜK" sheetId="2" state="visible" r:id="rId2"/>
    <sheet name="YAĞIZ GÜNLÜK" sheetId="3" state="visible" r:id="rId3"/>
    <sheet name="ADAYLAR" sheetId="4" state="visible" r:id="rId4"/>
    <sheet name="KAYIT-TAHSİLAT" sheetId="5" state="visible" r:id="rId5"/>
    <sheet name="HAFTALIK" sheetId="6" state="visible" r:id="rId6"/>
    <sheet name="AYLIK" sheetId="7" state="visible" r:id="rId7"/>
    <sheet name="90 GÜN" sheetId="8" state="visible" r:id="rId8"/>
    <sheet name="SKOR" sheetId="9" state="visible" r:id="rId9"/>
    <sheet name="ARAMA SCRİPTİ" sheetId="10" state="visible" r:id="rId10"/>
    <sheet name="MESAJ ŞABLONLARI" sheetId="11" state="visible" r:id="rId11"/>
    <sheet name="REKLAM ARKADAŞI BRİFİ" sheetId="12" state="visible" r:id="rId12"/>
    <sheet name="ARŞİV" sheetId="13" state="visible" r:id="rId13"/>
    <sheet name="KOD" sheetId="14" state="visible" r:id="rId14"/>
  </sheets>
  <definedNames>
    <definedName name="_xlnm._FilterDatabase" localSheetId="3" hidden="1">'ADAYLAR'!$A$1:$V$600</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 &quot;₺&quot;"/>
  </numFmts>
  <fonts count="4">
    <font>
      <name val="Calibri"/>
      <family val="2"/>
      <color theme="1"/>
      <sz val="11"/>
      <scheme val="minor"/>
    </font>
    <font>
      <name val="Arial"/>
      <b val="1"/>
      <color rgb="00C8FF00"/>
      <sz val="10"/>
    </font>
    <font>
      <name val="Arial"/>
      <sz val="10"/>
    </font>
    <font>
      <name val="Courier New"/>
      <sz val="9"/>
    </font>
  </fonts>
  <fills count="3">
    <fill>
      <patternFill/>
    </fill>
    <fill>
      <patternFill patternType="gray125"/>
    </fill>
    <fill>
      <patternFill patternType="solid">
        <fgColor rgb="000A0A0C"/>
      </patternFill>
    </fill>
  </fills>
  <borders count="2">
    <border>
      <left/>
      <right/>
      <top/>
      <bottom/>
      <diagonal/>
    </border>
    <border>
      <bottom style="thin">
        <color rgb="00D9D9D4"/>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165" fontId="2" fillId="0" borderId="1" applyAlignment="1" pivotButton="0" quotePrefix="0" xfId="0">
      <alignment vertical="top" wrapText="1"/>
    </xf>
    <xf numFmtId="49" fontId="2" fillId="0" borderId="1" applyAlignment="1" pivotButton="0" quotePrefix="0" xfId="0">
      <alignment vertical="top" wrapText="1"/>
    </xf>
    <xf numFmtId="165" fontId="0" fillId="0" borderId="0" pivotButton="0" quotePrefix="0" xfId="0"/>
    <xf numFmtId="49" fontId="0" fillId="0" borderId="0" pivotButton="0" quotePrefix="0" xfId="0"/>
    <xf numFmtId="166" fontId="2" fillId="0" borderId="1" applyAlignment="1" pivotButton="0" quotePrefix="0" xfId="0">
      <alignment vertical="top" wrapText="1"/>
    </xf>
    <xf numFmtId="0" fontId="3" fillId="0" borderId="1" applyAlignment="1" pivotButton="0" quotePrefix="0" xfId="0">
      <alignment/>
    </xf>
  </cellXfs>
  <cellStyles count="1">
    <cellStyle name="Normal" xfId="0" builtinId="0" hidden="0"/>
  </cellStyles>
  <dxfs count="5">
    <dxf>
      <font>
        <strike val="1"/>
        <color rgb="007A7A72"/>
      </font>
      <fill>
        <patternFill patternType="solid">
          <fgColor rgb="00E6F7B8"/>
        </patternFill>
      </fill>
    </dxf>
    <dxf>
      <fill>
        <patternFill patternType="solid">
          <fgColor rgb="00D8F5A2"/>
        </patternFill>
      </fill>
    </dxf>
    <dxf>
      <font>
        <color rgb="009E9E9E"/>
      </font>
    </dxf>
    <dxf>
      <fill>
        <patternFill patternType="solid">
          <fgColor rgb="00FFCDD2"/>
        </patternFill>
      </fill>
    </dxf>
    <dxf>
      <fill>
        <patternFill patternType="solid">
          <fgColor rgb="00FFF3B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8FF00"/>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10" customWidth="1" min="3" max="3"/>
  </cols>
  <sheetData>
    <row r="1" ht="28" customHeight="1">
      <c r="A1" s="1" t="inlineStr">
        <is>
          <t>#</t>
        </is>
      </c>
      <c r="B1" s="1" t="inlineStr">
        <is>
          <t>Konu</t>
        </is>
      </c>
      <c r="C1" s="1" t="inlineStr">
        <is>
          <t>Nasıl</t>
        </is>
      </c>
    </row>
    <row r="2">
      <c r="A2" s="2" t="inlineStr">
        <is>
          <t>0</t>
        </is>
      </c>
      <c r="B2" s="2" t="inlineStr">
        <is>
          <t>Kim neye bakıyor (17 Eylül'den itibaren)</t>
        </is>
      </c>
      <c r="C2" s="2" t="inlineStr">
        <is>
          <t>Reklam (Meta + Google Ads) ve grafik tasarım / Instagram paylaşımı artık yeni reklam-tasarım arkadaşında. Yağız ve Melis'in listesinde reklam paneli, kreatif üretimi ve post/story/reels tasarımı YOK. Yağız'da kalan: SEO, marka dili/kurumsal kimlik yönü (üretim değil, karar), satış operasyonu, muhasebe, PR. Yeni arkadaşa ne teslim edilmesi gerektiği için REKLAM ARKADAŞI BRİFİ sekmesine bak.</t>
        </is>
      </c>
    </row>
    <row r="3">
      <c r="A3" s="2" t="inlineStr">
        <is>
          <t>1</t>
        </is>
      </c>
      <c r="B3" s="2" t="inlineStr">
        <is>
          <t>Bu tablo ne?</t>
        </is>
      </c>
      <c r="C3" s="2" t="inlineStr">
        <is>
          <t>Techne Lab'in günlük işletme merkezi. Adaylar, aramalar, kayıtlar, tahsilat ve görev listeleri tek yerde. Başka bir listeye, deftere ya da WhatsApp notuna iş yazılmaz; her şey buraya.</t>
        </is>
      </c>
    </row>
    <row r="4">
      <c r="A4" s="2" t="inlineStr">
        <is>
          <t>2</t>
        </is>
      </c>
      <c r="B4" s="2" t="inlineStr">
        <is>
          <t>Sabah ilk iş</t>
        </is>
      </c>
      <c r="C4" s="2" t="inlineStr">
        <is>
          <t>MELİS GÜNLÜK sekmesini aç, sırayla git. Bitirdiğin görevin kutusunu işaretle. Liste her sabah 07:00'de kendiliğinden sıfırlanır, dünkü sonuç ARŞİV'e yazılır.</t>
        </is>
      </c>
    </row>
    <row r="5">
      <c r="A5" s="2" t="inlineStr">
        <is>
          <t>3</t>
        </is>
      </c>
      <c r="B5" s="2" t="inlineStr">
        <is>
          <t>Yeni başvurular</t>
        </is>
      </c>
      <c r="C5" s="2" t="inlineStr">
        <is>
          <t>Siteden gelen tanışma günü formları 15 dakikada bir ADAYLAR sekmesinin en altına kendiliğinden düşer. Sen sadece DM, WhatsApp ve telefonla gelenleri elle eklersin (KAYNAK sütununu seç).</t>
        </is>
      </c>
    </row>
    <row r="6">
      <c r="A6" s="2" t="inlineStr">
        <is>
          <t>4</t>
        </is>
      </c>
      <c r="B6" s="2" t="inlineStr">
        <is>
          <t>Tek kural: DURUM</t>
        </is>
      </c>
      <c r="C6" s="2" t="inlineStr">
        <is>
          <t>Her temastan sonra DURUM sütununu güncelle. Sistem 'Son temas', 'Sonraki adım' ve 'Sonraki adım tarihi'ni kendisi doldurur. Kırmızı satır = 24 saati geçmiş ve hâlâ aranmamış başvuru. Sarı satır = sonraki adım tarihi bugün ya da geçmiş.</t>
        </is>
      </c>
    </row>
    <row r="7">
      <c r="A7" s="2" t="inlineStr">
        <is>
          <t>5</t>
        </is>
      </c>
      <c r="B7" s="2" t="inlineStr">
        <is>
          <t>Durumlar</t>
        </is>
      </c>
      <c r="C7" s="2" t="inlineStr">
        <is>
          <t>1-Yeni &gt; 2-Ulaşılamadı &gt; 3-Görüşüldü &gt; 4-Tanışmaya gelecek &gt; 5-Tanışmaya geldi / 6-Gelmedi &gt; 7-Ödeme bekleniyor &gt; 8-KAYIT OLDU. Kapanış: 9-Kaybedildi (nedenini NOT'a yaz) ya da 10-Sonraki dönem.</t>
        </is>
      </c>
    </row>
    <row r="8">
      <c r="A8" s="2" t="inlineStr">
        <is>
          <t>6</t>
        </is>
      </c>
      <c r="B8" s="2" t="inlineStr">
        <is>
          <t>Kayıt olunca</t>
        </is>
      </c>
      <c r="C8" s="2" t="inlineStr">
        <is>
          <t>DURUM'u 8-KAYIT OLDU yap. Aday KAYIT-TAHSİLAT sekmesine kendiliğinden eklenir; paket, tutar, ödeme tipi ve sonraki ödeme tarihini sen tamamla. Para girişi olmadan satır 'bitti' sayılmaz.</t>
        </is>
      </c>
    </row>
    <row r="9">
      <c r="A9" s="2" t="inlineStr">
        <is>
          <t>7</t>
        </is>
      </c>
      <c r="B9" s="2" t="inlineStr">
        <is>
          <t>Aramalar</t>
        </is>
      </c>
      <c r="C9" s="2" t="inlineStr">
        <is>
          <t>ARAMA SCRİPTİ sekmesi konuşmanın iskeleti. MESAJ ŞABLONLARI sekmesi WhatsApp ve DM metinleri. Kopyala, ismi değiştir, gönder.</t>
        </is>
      </c>
    </row>
    <row r="10">
      <c r="A10" s="2" t="inlineStr">
        <is>
          <t>8</t>
        </is>
      </c>
      <c r="B10" s="2" t="inlineStr">
        <is>
          <t>Dil kuralları</t>
        </is>
      </c>
      <c r="C10" s="2" t="inlineStr">
        <is>
          <t>'Ders' kelimesi kullanılmaz: atölye, program ya da seans denir. Eğitmen adı ve unvanı öne çıkarılmaz. Fiyat sitede yazmaz; telefonda ya da DM'de sorulursa net rakam verilir (güncel liste Yağız'dan). Postta telefon numarası paylaşılmaz.</t>
        </is>
      </c>
    </row>
    <row r="11">
      <c r="A11" s="2" t="inlineStr">
        <is>
          <t>9</t>
        </is>
      </c>
      <c r="B11" s="2" t="inlineStr">
        <is>
          <t>Gün sonu</t>
        </is>
      </c>
      <c r="C11" s="2" t="inlineStr">
        <is>
          <t>SKOR sekmesinde bugünün satırına arama ve ulaşılan sayısını yaz. Yağız'a WhatsApp'tan 3 satır: kaç arama, kaç kayıt/ödeme, takıldığın tek şey.</t>
        </is>
      </c>
    </row>
    <row r="12">
      <c r="A12" s="2" t="inlineStr">
        <is>
          <t>10</t>
        </is>
      </c>
      <c r="B12" s="2" t="inlineStr">
        <is>
          <t>Yetki sınırı</t>
        </is>
      </c>
      <c r="C12" s="2" t="inlineStr">
        <is>
          <t>İndirim, burs, taksit istisnası ve iade kararı Yağız'ın. Aday sorarsa 'sizin için hemen soruyorum, bugün dönüyorum' de ve NOT sütununa yaz.</t>
        </is>
      </c>
    </row>
    <row r="13">
      <c r="A13" s="2" t="inlineStr"/>
      <c r="B13" s="2" t="inlineStr"/>
      <c r="C13" s="2" t="inlineStr"/>
    </row>
    <row r="14">
      <c r="A14" s="2" t="inlineStr">
        <is>
          <t>KURULUM</t>
        </is>
      </c>
      <c r="B14" s="2" t="inlineStr">
        <is>
          <t>Otomasyonu açmak (Yağız, bir kez)</t>
        </is>
      </c>
      <c r="C14" s="2" t="inlineStr">
        <is>
          <t>1) Uzantılar &gt; Apps Script. 2) KOD sekmesindeki metnin tamamını kopyala, oradaki boş dosyaya yapıştır, Kaydet. 3) Tabloyu yenile; üstte 'Techne Lab' menüsü çıkar. 4) Techne Lab &gt; İlk kurulum &gt; izinleri onayla. 5) Melis'e sabah e-postası için koddaki MELIS_EMAIL satırına adresini yaz. 6) Paylaş &gt; Melis'in e-postası &gt; Düzenleyen.</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48" customWidth="1" min="3" max="3"/>
    <col width="80" customWidth="1" min="4" max="4"/>
    <col width="10" customWidth="1" min="5" max="5"/>
  </cols>
  <sheetData>
    <row r="1" ht="28" customHeight="1">
      <c r="A1" s="1" t="inlineStr">
        <is>
          <t>✓</t>
        </is>
      </c>
      <c r="B1" s="1" t="inlineStr">
        <is>
          <t>Saat</t>
        </is>
      </c>
      <c r="C1" s="1" t="inlineStr">
        <is>
          <t>Görev</t>
        </is>
      </c>
      <c r="D1" s="1" t="inlineStr">
        <is>
          <t>Nasıl / nerede</t>
        </is>
      </c>
      <c r="E1" s="1" t="inlineStr">
        <is>
          <t>Süre</t>
        </is>
      </c>
    </row>
    <row r="2">
      <c r="A2" s="2" t="inlineStr"/>
      <c r="B2" s="2" t="inlineStr">
        <is>
          <t>09:30</t>
        </is>
      </c>
      <c r="C2" s="2" t="inlineStr">
        <is>
          <t>ADAYLAR sekmesini aç: gece gelen başvurular ve kırmızı satırlar</t>
        </is>
      </c>
      <c r="D2" s="2" t="inlineStr">
        <is>
          <t>Kırmızı = 24 saati geçmiş, aranmamış. Bunlar ilk sıraya.</t>
        </is>
      </c>
      <c r="E2" s="2" t="inlineStr">
        <is>
          <t>15 dk</t>
        </is>
      </c>
    </row>
    <row r="3">
      <c r="A3" s="2" t="inlineStr"/>
      <c r="B3" s="2" t="inlineStr">
        <is>
          <t>09:45</t>
        </is>
      </c>
      <c r="C3" s="2" t="inlineStr">
        <is>
          <t>Yağız ile 10 dakika</t>
        </is>
      </c>
      <c r="D3" s="2" t="inlineStr">
        <is>
          <t>Bugün aranacaklar, fiyat/burs sorusu olan adaylar, dünden kalan tek sorun.</t>
        </is>
      </c>
      <c r="E3" s="2" t="inlineStr">
        <is>
          <t>10 dk</t>
        </is>
      </c>
    </row>
    <row r="4">
      <c r="A4" s="2" t="inlineStr"/>
      <c r="B4" s="2" t="inlineStr">
        <is>
          <t>10:00</t>
        </is>
      </c>
      <c r="C4" s="2" t="inlineStr">
        <is>
          <t>ARAMA BLOĞU 1: tüm 1-Yeni adayları ara</t>
        </is>
      </c>
      <c r="D4" s="2" t="inlineStr">
        <is>
          <t>ARAMA SCRİPTİ'ne göre. Her görüşmeden hemen sonra DURUM + NOT. Ulaşamazsan aynı dakika WhatsApp 'ulaşılamadı' mesajı.</t>
        </is>
      </c>
      <c r="E4" s="2" t="inlineStr">
        <is>
          <t>2 saat</t>
        </is>
      </c>
    </row>
    <row r="5">
      <c r="A5" s="2" t="inlineStr"/>
      <c r="B5" s="2" t="inlineStr">
        <is>
          <t>12:00</t>
        </is>
      </c>
      <c r="C5" s="2" t="inlineStr">
        <is>
          <t>DM ve WhatsApp turu 1</t>
        </is>
      </c>
      <c r="D5" s="2" t="inlineStr">
        <is>
          <t>Instagram DM, WhatsApp Business, post yorumları. Hiçbir mesaj 2 saatten fazla cevapsız kalmaz. Yeni ilgi = ADAYLAR'a satır (KAYNAK: Instagram DM / WhatsApp).</t>
        </is>
      </c>
      <c r="E5" s="2" t="inlineStr">
        <is>
          <t>45 dk</t>
        </is>
      </c>
    </row>
    <row r="6">
      <c r="A6" s="2" t="inlineStr"/>
      <c r="B6" s="2" t="inlineStr">
        <is>
          <t>14:00</t>
        </is>
      </c>
      <c r="C6" s="2" t="inlineStr">
        <is>
          <t>TAKİP BLOĞU: sarı satırlar</t>
        </is>
      </c>
      <c r="D6" s="2" t="inlineStr">
        <is>
          <t>Sonraki adım tarihi bugün olanlar: 2-Ulaşılamadı (2. ve 3. deneme), 5-Tanışmaya geldi (kayıt görüşmesi), 7-Ödeme bekleniyor (hatırlatma).</t>
        </is>
      </c>
      <c r="E6" s="2" t="inlineStr">
        <is>
          <t>1,5 saat</t>
        </is>
      </c>
    </row>
    <row r="7">
      <c r="A7" s="2" t="inlineStr"/>
      <c r="B7" s="2" t="inlineStr">
        <is>
          <t>15:30</t>
        </is>
      </c>
      <c r="C7" s="2" t="inlineStr">
        <is>
          <t>Tahsilat ve belge</t>
        </is>
      </c>
      <c r="D7" s="2" t="inlineStr">
        <is>
          <t>Bugünkü ödemeleri KAYIT-TAHSİLAT'a işle. Dekont/makbuz/faturayı Masaüstü &gt; MUHASEBE &gt; ilgili ay &gt; GELIR ya da GIDER klasörüne kaydet. Dosya adı: YYYY-AA-GG_ad-soyad_program_tutar.</t>
        </is>
      </c>
      <c r="E7" s="2" t="inlineStr">
        <is>
          <t>45 dk</t>
        </is>
      </c>
    </row>
    <row r="8">
      <c r="A8" s="2" t="inlineStr"/>
      <c r="B8" s="2" t="inlineStr">
        <is>
          <t>16:15</t>
        </is>
      </c>
      <c r="C8" s="2" t="inlineStr">
        <is>
          <t>Yaklaşan tanışma ve başlangıç teyitleri</t>
        </is>
      </c>
      <c r="D8" s="2" t="inlineStr">
        <is>
          <t>Yarın tanışma ya da ilk seansı olan herkese hatırlatma mesajı (MESAJ ŞABLONLARI). Teyit gelmeyeni akşam ara.</t>
        </is>
      </c>
      <c r="E8" s="2" t="inlineStr">
        <is>
          <t>30 dk</t>
        </is>
      </c>
    </row>
    <row r="9">
      <c r="A9" s="2" t="inlineStr"/>
      <c r="B9" s="2" t="inlineStr">
        <is>
          <t>16:45</t>
        </is>
      </c>
      <c r="C9" s="2" t="inlineStr">
        <is>
          <t>DM ve WhatsApp turu 2</t>
        </is>
      </c>
      <c r="D9" s="2" t="inlineStr">
        <is>
          <t>Öğleden sonra gelen tüm mesajlar. Akşama cevapsız mesaj bırakma.</t>
        </is>
      </c>
      <c r="E9" s="2" t="inlineStr">
        <is>
          <t>45 dk</t>
        </is>
      </c>
    </row>
    <row r="10">
      <c r="A10" s="2" t="inlineStr"/>
      <c r="B10" s="2" t="inlineStr">
        <is>
          <t>17:30</t>
        </is>
      </c>
      <c r="C10" s="2" t="inlineStr">
        <is>
          <t>Kayıp ve itiraz notları</t>
        </is>
      </c>
      <c r="D10" s="2" t="inlineStr">
        <is>
          <t>Bugün 'düşüneyim', 'pahalı', 'zamanım yok' diyenlerin gerçek nedenini NOT'a tek cümleyle yaz. Haftalık toplantıda bu notlar okunacak.</t>
        </is>
      </c>
      <c r="E10" s="2" t="inlineStr">
        <is>
          <t>15 dk</t>
        </is>
      </c>
    </row>
    <row r="11">
      <c r="A11" s="2" t="inlineStr"/>
      <c r="B11" s="2" t="inlineStr">
        <is>
          <t>17:45</t>
        </is>
      </c>
      <c r="C11" s="2" t="inlineStr">
        <is>
          <t>SKOR'u doldur + Yağız'a 3 satır</t>
        </is>
      </c>
      <c r="D11" s="2" t="inlineStr">
        <is>
          <t>Arama sayısı, ulaşılan, yeni tanışma, kayıt, tahsilat. Takıldığın tek şey.</t>
        </is>
      </c>
      <c r="E11" s="2" t="inlineStr">
        <is>
          <t>15 dk</t>
        </is>
      </c>
    </row>
    <row r="12">
      <c r="A12" s="2" t="inlineStr"/>
      <c r="B12" s="2" t="inlineStr">
        <is>
          <t>18:00</t>
        </is>
      </c>
      <c r="C12" s="2" t="inlineStr">
        <is>
          <t>Yarının ilk 5 aramasını seç</t>
        </is>
      </c>
      <c r="D12" s="2" t="inlineStr">
        <is>
          <t>ADAYLAR'da filtre: Sonraki adım tarihi = yarın. En sıcak 5 kişiyi NOT'ta ★ ile işaretle.</t>
        </is>
      </c>
      <c r="E12" s="2" t="inlineStr">
        <is>
          <t>15 dk</t>
        </is>
      </c>
    </row>
  </sheetData>
  <conditionalFormatting sqref="A2:E12">
    <cfRule type="expression" priority="1" dxfId="0">
      <formula>OR($A2=TRUE,$A2="✓")</formula>
    </cfRule>
  </conditionalFormatting>
  <dataValidations count="1">
    <dataValidation sqref="A2:A12"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tabColor rgb="004CAF50"/>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34" customWidth="1" min="3" max="3"/>
    <col width="100" customWidth="1" min="4" max="4"/>
    <col width="10" customWidth="1" min="5" max="5"/>
  </cols>
  <sheetData>
    <row r="1" ht="28" customHeight="1">
      <c r="A1" s="1" t="inlineStr">
        <is>
          <t>✓</t>
        </is>
      </c>
      <c r="B1" s="1" t="inlineStr">
        <is>
          <t>Saat</t>
        </is>
      </c>
      <c r="C1" s="1" t="inlineStr">
        <is>
          <t>Görev</t>
        </is>
      </c>
      <c r="D1" s="1" t="inlineStr">
        <is>
          <t>Nasıl</t>
        </is>
      </c>
      <c r="E1" s="1" t="inlineStr">
        <is>
          <t>Süre</t>
        </is>
      </c>
    </row>
    <row r="2">
      <c r="A2" s="2" t="inlineStr"/>
      <c r="B2" s="2" t="inlineStr">
        <is>
          <t>09:30</t>
        </is>
      </c>
      <c r="C2" s="2" t="inlineStr">
        <is>
          <t>Sabah kontrolü (20 dk)</t>
        </is>
      </c>
      <c r="D2" s="2" t="inlineStr">
        <is>
          <t>ADAYLAR'da dünkü yeni başvuru ve kırmızı satır sayısı. KAYIT-TAHSİLAT'ta dünkü giriş. Reklam paneline girme — o artık reklam arkadaşının işi, haftalık SKOR'a onun bildirdiği rakam yazılır.</t>
        </is>
      </c>
      <c r="E2" s="2" t="inlineStr">
        <is>
          <t>20 dk</t>
        </is>
      </c>
    </row>
    <row r="3">
      <c r="A3" s="2" t="inlineStr"/>
      <c r="B3" s="2" t="inlineStr">
        <is>
          <t>09:45</t>
        </is>
      </c>
      <c r="C3" s="2" t="inlineStr">
        <is>
          <t>Melis ile 10 dakika</t>
        </is>
      </c>
      <c r="D3" s="2" t="inlineStr">
        <is>
          <t>Fiyat/burs/taksit kararlarını ver. Kurucu dokunuşu gereken 1-3 sıcak adayı al.</t>
        </is>
      </c>
      <c r="E3" s="2" t="inlineStr">
        <is>
          <t>10 dk</t>
        </is>
      </c>
    </row>
    <row r="4">
      <c r="A4" s="2" t="inlineStr"/>
      <c r="B4" s="2" t="inlineStr">
        <is>
          <t>10:00</t>
        </is>
      </c>
      <c r="C4" s="2" t="inlineStr">
        <is>
          <t>DERİN İŞ (2 saat) · günün teması</t>
        </is>
      </c>
      <c r="D4" s="2" t="inlineStr">
        <is>
          <t>Pzt SATIŞ ve operasyon · Sal SEO ve site · Çar KURUMSAL KİMLİK yönü (karar, üretim değil) · Per MARKA DİLİ · Cum PR, ortaklık ve haftalık değerlendirme. Ne yapılacağı HAFTALIK ve 90 GÜN sekmesinde. Telefon sessizde.</t>
        </is>
      </c>
      <c r="E4" s="2" t="inlineStr">
        <is>
          <t>2 saat</t>
        </is>
      </c>
    </row>
    <row r="5">
      <c r="A5" s="2" t="inlineStr"/>
      <c r="B5" s="2" t="inlineStr">
        <is>
          <t>12:15</t>
        </is>
      </c>
      <c r="C5" s="2" t="inlineStr">
        <is>
          <t>Kurucu dokunuşu (20 dk)</t>
        </is>
      </c>
      <c r="D5" s="2" t="inlineStr">
        <is>
          <t>Melis'in verdiği 1-3 sıcak adaya kısa sesli mesaj ya da arama. Kayıt kararını bu kapatır.</t>
        </is>
      </c>
      <c r="E5" s="2" t="inlineStr">
        <is>
          <t>20 dk</t>
        </is>
      </c>
    </row>
    <row r="6">
      <c r="A6" s="2" t="inlineStr"/>
      <c r="B6" s="2" t="inlineStr">
        <is>
          <t>12:35</t>
        </is>
      </c>
      <c r="C6" s="2" t="inlineStr">
        <is>
          <t>Kapanış (10 dk)</t>
        </is>
      </c>
      <c r="D6" s="2" t="inlineStr">
        <is>
          <t>Yarının tek önemli işini yaz. Claude'a bırakılabilecek işi Claude'a ver (rapor, metin taslağı, analiz).</t>
        </is>
      </c>
      <c r="E6" s="2" t="inlineStr">
        <is>
          <t>10 dk</t>
        </is>
      </c>
    </row>
  </sheetData>
  <conditionalFormatting sqref="A2:E6">
    <cfRule type="expression" priority="1" dxfId="0">
      <formula>OR($A2=TRUE,$A2="✓")</formula>
    </cfRule>
  </conditionalFormatting>
  <dataValidations count="1">
    <dataValidation sqref="A2:A6"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tabColor rgb="00E53935"/>
    <outlinePr summaryBelow="1" summaryRight="1"/>
    <pageSetUpPr/>
  </sheetPr>
  <dimension ref="A1:V60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0" customWidth="1" min="3" max="3"/>
    <col width="30" customWidth="1" min="4" max="4"/>
    <col width="20" customWidth="1" min="5" max="5"/>
    <col width="15" customWidth="1" min="6" max="6"/>
    <col width="24" customWidth="1" min="7" max="7"/>
    <col width="16" customWidth="1" min="8" max="8"/>
    <col width="6" customWidth="1" min="9" max="9"/>
    <col width="18" customWidth="1" min="10" max="10"/>
    <col width="9" customWidth="1" min="11" max="11"/>
    <col width="40" customWidth="1" min="12" max="12"/>
    <col width="14" customWidth="1" min="13" max="13"/>
    <col width="9" customWidth="1" min="14" max="14"/>
    <col width="19" customWidth="1" min="15" max="15"/>
    <col width="8" customWidth="1" min="16" max="16"/>
    <col width="12" customWidth="1" min="17" max="17"/>
    <col width="34" customWidth="1" min="18" max="18"/>
    <col width="13" customWidth="1" min="19" max="19"/>
    <col width="12" customWidth="1" min="20" max="20"/>
    <col width="36" customWidth="1" min="21" max="21"/>
    <col hidden="1" width="8" customWidth="1" min="22" max="22"/>
  </cols>
  <sheetData>
    <row r="1" ht="28" customHeight="1">
      <c r="A1" s="1" t="inlineStr">
        <is>
          <t>Başvuru tarihi</t>
        </is>
      </c>
      <c r="B1" s="1" t="inlineStr">
        <is>
          <t>Kaynak</t>
        </is>
      </c>
      <c r="C1" s="1" t="inlineStr">
        <is>
          <t>Program</t>
        </is>
      </c>
      <c r="D1" s="1" t="inlineStr">
        <is>
          <t>Tanışma seansı</t>
        </is>
      </c>
      <c r="E1" s="1" t="inlineStr">
        <is>
          <t>Ad Soyad</t>
        </is>
      </c>
      <c r="F1" s="1" t="inlineStr">
        <is>
          <t>Telefon</t>
        </is>
      </c>
      <c r="G1" s="1" t="inlineStr">
        <is>
          <t>E-posta</t>
        </is>
      </c>
      <c r="H1" s="1" t="inlineStr">
        <is>
          <t>Instagram</t>
        </is>
      </c>
      <c r="I1" s="1" t="inlineStr">
        <is>
          <t>Yaş</t>
        </is>
      </c>
      <c r="J1" s="1" t="inlineStr">
        <is>
          <t>Meslek / okul</t>
        </is>
      </c>
      <c r="K1" s="1" t="inlineStr">
        <is>
          <t>İngilizce</t>
        </is>
      </c>
      <c r="L1" s="1" t="inlineStr">
        <is>
          <t>Deneyim / beklenti</t>
        </is>
      </c>
      <c r="M1" s="1" t="inlineStr">
        <is>
          <t>Nereden duydu</t>
        </is>
      </c>
      <c r="N1" s="1" t="inlineStr">
        <is>
          <t>İletişim izni</t>
        </is>
      </c>
      <c r="O1" s="1" t="inlineStr">
        <is>
          <t>DURUM</t>
        </is>
      </c>
      <c r="P1" s="1" t="inlineStr">
        <is>
          <t>Deneme</t>
        </is>
      </c>
      <c r="Q1" s="1" t="inlineStr">
        <is>
          <t>Son temas</t>
        </is>
      </c>
      <c r="R1" s="1" t="inlineStr">
        <is>
          <t>Sonraki adım</t>
        </is>
      </c>
      <c r="S1" s="1" t="inlineStr">
        <is>
          <t>Sonraki adım tarihi</t>
        </is>
      </c>
      <c r="T1" s="1" t="inlineStr">
        <is>
          <t>Tutar (kayıt)</t>
        </is>
      </c>
      <c r="U1" s="1" t="inlineStr">
        <is>
          <t>NOT</t>
        </is>
      </c>
      <c r="V1" s="1" t="inlineStr">
        <is>
          <t>Kaynak ID</t>
        </is>
      </c>
    </row>
    <row r="2">
      <c r="A2" s="3" t="n">
        <v>46275</v>
      </c>
      <c r="B2" s="2" t="inlineStr">
        <is>
          <t>Form</t>
        </is>
      </c>
      <c r="C2" s="2" t="inlineStr">
        <is>
          <t>English Drama Lab</t>
        </is>
      </c>
      <c r="D2" s="2" t="inlineStr">
        <is>
          <t>Kadıköy · 12 Eylül Cumartesi · 14:00</t>
        </is>
      </c>
      <c r="E2" s="2" t="inlineStr">
        <is>
          <t>Özlem Kırmızı</t>
        </is>
      </c>
      <c r="F2" s="4" t="inlineStr">
        <is>
          <t>0531 513 17 12</t>
        </is>
      </c>
      <c r="G2" s="2" t="inlineStr">
        <is>
          <t>ozlemmkirmizi@icloud.com</t>
        </is>
      </c>
      <c r="H2" s="2" t="inlineStr">
        <is>
          <t>@ozlemkrmzz</t>
        </is>
      </c>
      <c r="I2" s="2" t="n">
        <v>26</v>
      </c>
      <c r="J2" s="2" t="inlineStr">
        <is>
          <t>Doktor</t>
        </is>
      </c>
      <c r="K2" s="2" t="inlineStr">
        <is>
          <t>B1</t>
        </is>
      </c>
      <c r="L2" s="2" t="inlineStr">
        <is>
          <t>Deneyim: 7-8 ay hip-hop dans kursu; çocukken halk eğitim merkezinde tiyatro / Beklenti: Tiyatroya eğlenceli bir dönüş ve İngilizce konuşma tecrübesi</t>
        </is>
      </c>
      <c r="M2" s="2" t="inlineStr">
        <is>
          <t>Instagram</t>
        </is>
      </c>
      <c r="N2" s="2" t="inlineStr">
        <is>
          <t>Evet</t>
        </is>
      </c>
      <c r="O2" s="2" t="inlineStr">
        <is>
          <t>1-Yeni</t>
        </is>
      </c>
      <c r="P2" s="2" t="n">
        <v>0</v>
      </c>
      <c r="Q2" s="3" t="n"/>
      <c r="R2" s="2" t="inlineStr">
        <is>
          <t>Tanışma geçti: geldi mi, kaydoldu mu? Ara ve DURUM'u düzelt</t>
        </is>
      </c>
      <c r="S2" s="3" t="n">
        <v>46282</v>
      </c>
      <c r="T2" s="2" t="n"/>
      <c r="U2" s="2" t="inlineStr"/>
      <c r="V2" s="2" t="inlineStr">
        <is>
          <t>ozlemmkirmizi@icloud.com|english drama lab</t>
        </is>
      </c>
    </row>
    <row r="3">
      <c r="A3" s="3" t="n">
        <v>46275</v>
      </c>
      <c r="B3" s="2" t="inlineStr">
        <is>
          <t>Form</t>
        </is>
      </c>
      <c r="C3" s="2" t="inlineStr">
        <is>
          <t>Techne Musical Lab</t>
        </is>
      </c>
      <c r="D3" s="2" t="inlineStr">
        <is>
          <t>Kadıköy · 12 Eylül Cumartesi · 18:30</t>
        </is>
      </c>
      <c r="E3" s="2" t="inlineStr">
        <is>
          <t>Alp Yıldırım</t>
        </is>
      </c>
      <c r="F3" s="4" t="inlineStr">
        <is>
          <t>0534 685 06 80</t>
        </is>
      </c>
      <c r="G3" s="2" t="inlineStr">
        <is>
          <t>alprcpyildirim@icloud.com</t>
        </is>
      </c>
      <c r="H3" s="2" t="inlineStr">
        <is>
          <t>@thealpys</t>
        </is>
      </c>
      <c r="I3" s="2" t="n">
        <v>27</v>
      </c>
      <c r="J3" s="2" t="inlineStr">
        <is>
          <t>İnsan kaynakları personeli</t>
        </is>
      </c>
      <c r="K3" s="2" t="inlineStr"/>
      <c r="L3" s="2" t="inlineStr">
        <is>
          <t>Deneyim: 1 sezon caz vokal, 2 sezon klasik vokal, 1 sezon armoni &amp; solfej + müzik prodüksiyon / Beklenti: Sahne almak</t>
        </is>
      </c>
      <c r="M3" s="2" t="inlineStr">
        <is>
          <t>Instagram</t>
        </is>
      </c>
      <c r="N3" s="2" t="inlineStr">
        <is>
          <t>Hayır</t>
        </is>
      </c>
      <c r="O3" s="2" t="inlineStr">
        <is>
          <t>1-Yeni</t>
        </is>
      </c>
      <c r="P3" s="2" t="n">
        <v>0</v>
      </c>
      <c r="Q3" s="3" t="n"/>
      <c r="R3" s="2" t="inlineStr">
        <is>
          <t>Tanışma geçti: geldi mi, kaydoldu mu? Ara ve DURUM'u düzelt</t>
        </is>
      </c>
      <c r="S3" s="3" t="n">
        <v>46282</v>
      </c>
      <c r="T3" s="2" t="n"/>
      <c r="U3" s="2" t="inlineStr">
        <is>
          <t>31.08'de 123.750 TL ödeme linki gönderilmiş, tahsil edilmemiş — güncel burslu fiyat 105.000</t>
        </is>
      </c>
      <c r="V3" s="2" t="inlineStr">
        <is>
          <t>alprcpyildirim@icloud.com|techne musical lab</t>
        </is>
      </c>
    </row>
    <row r="4">
      <c r="A4" s="3" t="n">
        <v>46275</v>
      </c>
      <c r="B4" s="2" t="inlineStr">
        <is>
          <t>Form</t>
        </is>
      </c>
      <c r="C4" s="2" t="inlineStr">
        <is>
          <t>English Drama Youth</t>
        </is>
      </c>
      <c r="D4" s="2" t="inlineStr">
        <is>
          <t>Taksim Pera · 13 Eylül Pazar · 13:00</t>
        </is>
      </c>
      <c r="E4" s="2" t="inlineStr">
        <is>
          <t>Emine Naz Gül</t>
        </is>
      </c>
      <c r="F4" s="4" t="inlineStr">
        <is>
          <t>0537 716 47 72</t>
        </is>
      </c>
      <c r="G4" s="2" t="inlineStr">
        <is>
          <t>unlu.ayse@windowslive.com</t>
        </is>
      </c>
      <c r="H4" s="2" t="inlineStr">
        <is>
          <t>@ayse_eminenaz_denizefe</t>
        </is>
      </c>
      <c r="I4" s="2" t="n">
        <v>16</v>
      </c>
      <c r="J4" s="2" t="inlineStr">
        <is>
          <t>Öğrenci · 10. sınıf</t>
        </is>
      </c>
      <c r="K4" s="2" t="inlineStr">
        <is>
          <t>C1 ve üzeri</t>
        </is>
      </c>
      <c r="L4" s="2" t="inlineStr">
        <is>
          <t>Deneyim: Yok / Beklenti: Kendini ifade edebilmesi, sunum ve konuşma yapabilmesi</t>
        </is>
      </c>
      <c r="M4" s="2" t="inlineStr">
        <is>
          <t>Instagram</t>
        </is>
      </c>
      <c r="N4" s="2" t="inlineStr">
        <is>
          <t>Evet</t>
        </is>
      </c>
      <c r="O4" s="2" t="inlineStr">
        <is>
          <t>1-Yeni</t>
        </is>
      </c>
      <c r="P4" s="2" t="n">
        <v>0</v>
      </c>
      <c r="Q4" s="3" t="n"/>
      <c r="R4" s="2" t="inlineStr">
        <is>
          <t>Tanışma geçti: geldi mi, kaydoldu mu? Ara ve DURUM'u düzelt</t>
        </is>
      </c>
      <c r="S4" s="3" t="n">
        <v>46282</v>
      </c>
      <c r="T4" s="2" t="n"/>
      <c r="U4" s="2" t="inlineStr">
        <is>
          <t>Youth · Veli: Ayşe Ünlü · Veli onayı alındı</t>
        </is>
      </c>
      <c r="V4" s="2" t="inlineStr">
        <is>
          <t>unlu.ayse@windowslive.com|english drama youth</t>
        </is>
      </c>
    </row>
    <row r="5">
      <c r="A5" s="3" t="n">
        <v>46275</v>
      </c>
      <c r="B5" s="2" t="inlineStr">
        <is>
          <t>Form</t>
        </is>
      </c>
      <c r="C5" s="2" t="inlineStr">
        <is>
          <t>English Drama Lab</t>
        </is>
      </c>
      <c r="D5" s="2" t="inlineStr">
        <is>
          <t>Taksim Pera · 19 Eylül Cumartesi · 15:00</t>
        </is>
      </c>
      <c r="E5" s="2" t="inlineStr">
        <is>
          <t>Kaan Karaman</t>
        </is>
      </c>
      <c r="F5" s="4" t="inlineStr">
        <is>
          <t>0544 911 19 20</t>
        </is>
      </c>
      <c r="G5" s="2" t="inlineStr">
        <is>
          <t>kaankaraman4@gmail.com</t>
        </is>
      </c>
      <c r="H5" s="2" t="inlineStr">
        <is>
          <t>@kaankaramanlis</t>
        </is>
      </c>
      <c r="I5" s="2" t="n">
        <v>34</v>
      </c>
      <c r="J5" s="2" t="inlineStr">
        <is>
          <t>Kimya</t>
        </is>
      </c>
      <c r="K5" s="2" t="inlineStr">
        <is>
          <t>B2</t>
        </is>
      </c>
      <c r="L5" s="2" t="inlineStr">
        <is>
          <t>Beklenti: Topluluk önündeki performansı iyileştirmek</t>
        </is>
      </c>
      <c r="M5" s="2" t="inlineStr">
        <is>
          <t>Instagram</t>
        </is>
      </c>
      <c r="N5" s="2" t="inlineStr">
        <is>
          <t>Hayır</t>
        </is>
      </c>
      <c r="O5" s="2" t="inlineStr">
        <is>
          <t>4-Tanışmaya gelecek</t>
        </is>
      </c>
      <c r="P5" s="2" t="n">
        <v>0</v>
      </c>
      <c r="Q5" s="3" t="n"/>
      <c r="R5" s="2" t="inlineStr">
        <is>
          <t>Tanışmadan 1 gün önce hatırlatma mesajı</t>
        </is>
      </c>
      <c r="S5" s="3" t="n">
        <v>46283</v>
      </c>
      <c r="T5" s="2" t="n"/>
      <c r="U5" s="2" t="inlineStr"/>
      <c r="V5" s="2" t="inlineStr">
        <is>
          <t>kaankaraman4@gmail.com|english drama lab</t>
        </is>
      </c>
    </row>
    <row r="6">
      <c r="A6" s="3" t="n">
        <v>46275</v>
      </c>
      <c r="B6" s="2" t="inlineStr">
        <is>
          <t>Form</t>
        </is>
      </c>
      <c r="C6" s="2" t="inlineStr">
        <is>
          <t>English Acting Praxis</t>
        </is>
      </c>
      <c r="D6" s="2" t="inlineStr">
        <is>
          <t>Taksim Pera · 19 Eylül Cumartesi · 17:00</t>
        </is>
      </c>
      <c r="E6" s="2" t="inlineStr">
        <is>
          <t>Mehmet Yolcu</t>
        </is>
      </c>
      <c r="F6" s="4" t="inlineStr">
        <is>
          <t>0553 724 40 31</t>
        </is>
      </c>
      <c r="G6" s="2" t="inlineStr">
        <is>
          <t>mhmtylc93@gmail.com</t>
        </is>
      </c>
      <c r="H6" s="2" t="inlineStr"/>
      <c r="I6" s="2" t="n">
        <v>29</v>
      </c>
      <c r="J6" s="2" t="inlineStr">
        <is>
          <t>Paramedik</t>
        </is>
      </c>
      <c r="K6" s="2" t="inlineStr">
        <is>
          <t>B1</t>
        </is>
      </c>
      <c r="L6" s="2" t="inlineStr"/>
      <c r="M6" s="2" t="inlineStr"/>
      <c r="N6" s="2" t="inlineStr">
        <is>
          <t>Evet</t>
        </is>
      </c>
      <c r="O6" s="2" t="inlineStr">
        <is>
          <t>4-Tanışmaya gelecek</t>
        </is>
      </c>
      <c r="P6" s="2" t="n">
        <v>0</v>
      </c>
      <c r="Q6" s="3" t="n"/>
      <c r="R6" s="2" t="inlineStr">
        <is>
          <t>Tanışmadan 1 gün önce hatırlatma mesajı</t>
        </is>
      </c>
      <c r="S6" s="3" t="n">
        <v>46283</v>
      </c>
      <c r="T6" s="2" t="n"/>
      <c r="U6" s="2" t="inlineStr"/>
      <c r="V6" s="2" t="inlineStr">
        <is>
          <t>mhmtylc93@gmail.com|english acting praxis</t>
        </is>
      </c>
    </row>
    <row r="7">
      <c r="A7" s="3" t="n">
        <v>46276</v>
      </c>
      <c r="B7" s="2" t="inlineStr">
        <is>
          <t>Form</t>
        </is>
      </c>
      <c r="C7" s="2" t="inlineStr">
        <is>
          <t>Broadway Musical Dance</t>
        </is>
      </c>
      <c r="D7" s="2" t="inlineStr">
        <is>
          <t>Kadıköy · 12 Eylül Cumartesi · 18:30</t>
        </is>
      </c>
      <c r="E7" s="2" t="inlineStr">
        <is>
          <t>Berna Ertekin</t>
        </is>
      </c>
      <c r="F7" s="4" t="inlineStr">
        <is>
          <t>0530 304 50 61</t>
        </is>
      </c>
      <c r="G7" s="2" t="inlineStr">
        <is>
          <t>bernaertekin25@gmail.com</t>
        </is>
      </c>
      <c r="H7" s="2" t="inlineStr">
        <is>
          <t>@benimiste</t>
        </is>
      </c>
      <c r="I7" s="2" t="n">
        <v>40</v>
      </c>
      <c r="J7" s="2" t="inlineStr">
        <is>
          <t>Oyuncu - ortodontist</t>
        </is>
      </c>
      <c r="K7" s="2" t="inlineStr"/>
      <c r="L7" s="2" t="inlineStr">
        <is>
          <t>Deneyim: Koop danslar, craft tiyatro oyunculuk eğitimi / Beklenti: Sahnede olmak ve dans etmek için</t>
        </is>
      </c>
      <c r="M7" s="2" t="inlineStr">
        <is>
          <t>Instagram</t>
        </is>
      </c>
      <c r="N7" s="2" t="inlineStr">
        <is>
          <t>Evet</t>
        </is>
      </c>
      <c r="O7" s="2" t="inlineStr">
        <is>
          <t>1-Yeni</t>
        </is>
      </c>
      <c r="P7" s="2" t="n">
        <v>0</v>
      </c>
      <c r="Q7" s="3" t="n"/>
      <c r="R7" s="2" t="inlineStr">
        <is>
          <t>Tanışma geçti: geldi mi, kaydoldu mu? Ara ve DURUM'u düzelt</t>
        </is>
      </c>
      <c r="S7" s="3" t="n">
        <v>46282</v>
      </c>
      <c r="T7" s="2" t="n"/>
      <c r="U7" s="2" t="inlineStr"/>
      <c r="V7" s="2" t="inlineStr">
        <is>
          <t>bernaertekin25@gmail.com|broadway musical dance</t>
        </is>
      </c>
    </row>
    <row r="8">
      <c r="A8" s="3" t="n">
        <v>46276</v>
      </c>
      <c r="B8" s="2" t="inlineStr">
        <is>
          <t>Form</t>
        </is>
      </c>
      <c r="C8" s="2" t="inlineStr">
        <is>
          <t>Broadway Musical Dance</t>
        </is>
      </c>
      <c r="D8" s="2" t="inlineStr">
        <is>
          <t>Taksim Pera · 19 Eylül Cumartesi · 19:00</t>
        </is>
      </c>
      <c r="E8" s="2" t="inlineStr">
        <is>
          <t>Ceren Çetinkaya</t>
        </is>
      </c>
      <c r="F8" s="4" t="inlineStr">
        <is>
          <t>0505 208 31 48</t>
        </is>
      </c>
      <c r="G8" s="2" t="inlineStr">
        <is>
          <t>cerencetinkaya04@gmail.com</t>
        </is>
      </c>
      <c r="H8" s="2" t="inlineStr">
        <is>
          <t>@crnctnkyaa</t>
        </is>
      </c>
      <c r="I8" s="2" t="n">
        <v>22</v>
      </c>
      <c r="J8" s="2" t="inlineStr">
        <is>
          <t>Öğrenci</t>
        </is>
      </c>
      <c r="K8" s="2" t="inlineStr"/>
      <c r="L8" s="2" t="inlineStr">
        <is>
          <t>Deneyim: 4 sene ve hâlâ tiyatro / Beklenti: Dans etmek istiyorum ve edemiyorum</t>
        </is>
      </c>
      <c r="M8" s="2" t="inlineStr">
        <is>
          <t>Instagram</t>
        </is>
      </c>
      <c r="N8" s="2" t="inlineStr">
        <is>
          <t>Evet</t>
        </is>
      </c>
      <c r="O8" s="2" t="inlineStr">
        <is>
          <t>4-Tanışmaya gelecek</t>
        </is>
      </c>
      <c r="P8" s="2" t="n">
        <v>0</v>
      </c>
      <c r="Q8" s="3" t="n"/>
      <c r="R8" s="2" t="inlineStr">
        <is>
          <t>Tanışmadan 1 gün önce hatırlatma mesajı</t>
        </is>
      </c>
      <c r="S8" s="3" t="n">
        <v>46283</v>
      </c>
      <c r="T8" s="2" t="n"/>
      <c r="U8" s="2" t="inlineStr"/>
      <c r="V8" s="2" t="inlineStr">
        <is>
          <t>cerencetinkaya04@gmail.com|broadway musical dance</t>
        </is>
      </c>
    </row>
    <row r="9">
      <c r="A9" s="3" t="n">
        <v>46276</v>
      </c>
      <c r="B9" s="2" t="inlineStr">
        <is>
          <t>Form</t>
        </is>
      </c>
      <c r="C9" s="2" t="inlineStr">
        <is>
          <t>English Drama Lab</t>
        </is>
      </c>
      <c r="D9" s="2" t="inlineStr">
        <is>
          <t>Kadıköy · 12 Eylül Cumartesi · 14:00</t>
        </is>
      </c>
      <c r="E9" s="2" t="inlineStr">
        <is>
          <t>Melis Sönmezgil</t>
        </is>
      </c>
      <c r="F9" s="4" t="inlineStr">
        <is>
          <t>0532 347 45 47</t>
        </is>
      </c>
      <c r="G9" s="2" t="inlineStr">
        <is>
          <t>sonmezgilmelis@gmail.com</t>
        </is>
      </c>
      <c r="H9" s="2" t="inlineStr">
        <is>
          <t>@Denemelisin</t>
        </is>
      </c>
      <c r="I9" s="2" t="n">
        <v>49</v>
      </c>
      <c r="J9" s="2" t="inlineStr">
        <is>
          <t>Yönetici asistanı</t>
        </is>
      </c>
      <c r="K9" s="2" t="inlineStr">
        <is>
          <t>C1 ve üzeri</t>
        </is>
      </c>
      <c r="L9" s="2" t="inlineStr">
        <is>
          <t>Deneyim: Doğaçlama tiyatro (Taksim Yota), kontak doğaçlama, Afrika dansı, forro, biraz capoeira / Beklenti: Eğlenmek ve İngilizcesini eğlenirken kullanmak</t>
        </is>
      </c>
      <c r="M9" s="2" t="inlineStr">
        <is>
          <t>Instagram</t>
        </is>
      </c>
      <c r="N9" s="2" t="inlineStr">
        <is>
          <t>Evet</t>
        </is>
      </c>
      <c r="O9" s="2" t="inlineStr">
        <is>
          <t>1-Yeni</t>
        </is>
      </c>
      <c r="P9" s="2" t="n">
        <v>0</v>
      </c>
      <c r="Q9" s="3" t="n"/>
      <c r="R9" s="2" t="inlineStr">
        <is>
          <t>Tanışma geçti: geldi mi, kaydoldu mu? Ara ve DURUM'u düzelt</t>
        </is>
      </c>
      <c r="S9" s="3" t="n">
        <v>46282</v>
      </c>
      <c r="T9" s="2" t="n"/>
      <c r="U9" s="2" t="inlineStr"/>
      <c r="V9" s="2" t="inlineStr">
        <is>
          <t>sonmezgilmelis@gmail.com|english drama lab</t>
        </is>
      </c>
    </row>
    <row r="10">
      <c r="A10" s="3" t="n">
        <v>46276</v>
      </c>
      <c r="B10" s="2" t="inlineStr">
        <is>
          <t>Form</t>
        </is>
      </c>
      <c r="C10" s="2" t="inlineStr">
        <is>
          <t>Techne Musical Lab</t>
        </is>
      </c>
      <c r="D10" s="2" t="inlineStr">
        <is>
          <t>Kadıköy · 12 Eylül Cumartesi · 18:30</t>
        </is>
      </c>
      <c r="E10" s="2" t="inlineStr">
        <is>
          <t>Deniz Yanılmaz</t>
        </is>
      </c>
      <c r="F10" s="4" t="inlineStr">
        <is>
          <t>0555 482 45 64</t>
        </is>
      </c>
      <c r="G10" s="2" t="inlineStr">
        <is>
          <t>denizz.klc@gmail.com</t>
        </is>
      </c>
      <c r="H10" s="2" t="inlineStr">
        <is>
          <t>@nephthys.dk</t>
        </is>
      </c>
      <c r="I10" s="2" t="n">
        <v>39</v>
      </c>
      <c r="J10" s="2" t="inlineStr">
        <is>
          <t>Mühendis</t>
        </is>
      </c>
      <c r="K10" s="2" t="inlineStr"/>
      <c r="L10" s="2" t="inlineStr">
        <is>
          <t>Deneyim: Vokal akademi müzikal korosunda soprano / Beklenti: Bir müzikal oyunda sahne almak</t>
        </is>
      </c>
      <c r="M10" s="2" t="inlineStr">
        <is>
          <t>Instagram</t>
        </is>
      </c>
      <c r="N10" s="2" t="inlineStr">
        <is>
          <t>Evet</t>
        </is>
      </c>
      <c r="O10" s="2" t="inlineStr">
        <is>
          <t>1-Yeni</t>
        </is>
      </c>
      <c r="P10" s="2" t="n">
        <v>0</v>
      </c>
      <c r="Q10" s="3" t="n"/>
      <c r="R10" s="2" t="inlineStr">
        <is>
          <t>Tanışma geçti: geldi mi, kaydoldu mu? Ara ve DURUM'u düzelt</t>
        </is>
      </c>
      <c r="S10" s="3" t="n">
        <v>46282</v>
      </c>
      <c r="T10" s="2" t="n"/>
      <c r="U10" s="2" t="inlineStr"/>
      <c r="V10" s="2" t="inlineStr">
        <is>
          <t>denizz.klc@gmail.com|techne musical lab</t>
        </is>
      </c>
    </row>
    <row r="11">
      <c r="A11" s="3" t="n">
        <v>46276</v>
      </c>
      <c r="B11" s="2" t="inlineStr">
        <is>
          <t>Form</t>
        </is>
      </c>
      <c r="C11" s="2" t="inlineStr">
        <is>
          <t>Broadway Musical Dance</t>
        </is>
      </c>
      <c r="D11" s="2" t="inlineStr">
        <is>
          <t>Kadıköy · 12 Eylül Cumartesi · 18:30</t>
        </is>
      </c>
      <c r="E11" s="2" t="inlineStr">
        <is>
          <t>Duygu Sezgin</t>
        </is>
      </c>
      <c r="F11" s="4" t="inlineStr">
        <is>
          <t>0551 650 91 89</t>
        </is>
      </c>
      <c r="G11" s="2" t="inlineStr">
        <is>
          <t>aurelia.d.luci@gmail.com</t>
        </is>
      </c>
      <c r="H11" s="2" t="inlineStr">
        <is>
          <t>@aurelia.d.music</t>
        </is>
      </c>
      <c r="I11" s="2" t="n">
        <v>39</v>
      </c>
      <c r="J11" s="2" t="inlineStr">
        <is>
          <t>Müzisyen, oyuncu</t>
        </is>
      </c>
      <c r="K11" s="2" t="inlineStr"/>
      <c r="L11" s="2" t="inlineStr">
        <is>
          <t>Deneyim: Oyunculuk ve müzisyenlik deneyimi, uzun zamandır; dans deneyimi daha az</t>
        </is>
      </c>
      <c r="M11" s="2" t="inlineStr">
        <is>
          <t>Instagram</t>
        </is>
      </c>
      <c r="N11" s="2" t="inlineStr">
        <is>
          <t>Hayır</t>
        </is>
      </c>
      <c r="O11" s="2" t="inlineStr">
        <is>
          <t>1-Yeni</t>
        </is>
      </c>
      <c r="P11" s="2" t="n">
        <v>0</v>
      </c>
      <c r="Q11" s="3" t="n"/>
      <c r="R11" s="2" t="inlineStr">
        <is>
          <t>Tanışma geçti: geldi mi, kaydoldu mu? Ara ve DURUM'u düzelt</t>
        </is>
      </c>
      <c r="S11" s="3" t="n">
        <v>46282</v>
      </c>
      <c r="T11" s="2" t="n"/>
      <c r="U11" s="2" t="inlineStr"/>
      <c r="V11" s="2" t="inlineStr">
        <is>
          <t>aurelia.d.luci@gmail.com|broadway musical dance</t>
        </is>
      </c>
    </row>
    <row r="12">
      <c r="A12" s="3" t="n">
        <v>46276</v>
      </c>
      <c r="B12" s="2" t="inlineStr">
        <is>
          <t>Form</t>
        </is>
      </c>
      <c r="C12" s="2" t="inlineStr">
        <is>
          <t>Techne Musical Lab</t>
        </is>
      </c>
      <c r="D12" s="2" t="inlineStr">
        <is>
          <t>Kadıköy · 12 Eylül Cumartesi · 18:30</t>
        </is>
      </c>
      <c r="E12" s="2" t="inlineStr">
        <is>
          <t>Baver Gür</t>
        </is>
      </c>
      <c r="F12" s="4" t="inlineStr">
        <is>
          <t>0506 963 59 62</t>
        </is>
      </c>
      <c r="G12" s="2" t="inlineStr">
        <is>
          <t>bavergur@hotmail.com</t>
        </is>
      </c>
      <c r="H12" s="2" t="inlineStr">
        <is>
          <t>@bavergur</t>
        </is>
      </c>
      <c r="I12" s="2" t="n">
        <v>30</v>
      </c>
      <c r="J12" s="2" t="inlineStr">
        <is>
          <t>Yazılımcı</t>
        </is>
      </c>
      <c r="K12" s="2" t="inlineStr"/>
      <c r="L12" s="2" t="inlineStr">
        <is>
          <t>Deneyim: 2 senelik tiyatro eğitimi, 2 farklı tiyatro grubunda oyun çıkartma</t>
        </is>
      </c>
      <c r="M12" s="2" t="inlineStr">
        <is>
          <t>Instagram</t>
        </is>
      </c>
      <c r="N12" s="2" t="inlineStr">
        <is>
          <t>Hayır</t>
        </is>
      </c>
      <c r="O12" s="2" t="inlineStr">
        <is>
          <t>1-Yeni</t>
        </is>
      </c>
      <c r="P12" s="2" t="n">
        <v>0</v>
      </c>
      <c r="Q12" s="3" t="n"/>
      <c r="R12" s="2" t="inlineStr">
        <is>
          <t>Tanışma geçti: geldi mi, kaydoldu mu? Ara ve DURUM'u düzelt</t>
        </is>
      </c>
      <c r="S12" s="3" t="n">
        <v>46282</v>
      </c>
      <c r="T12" s="2" t="n"/>
      <c r="U12" s="2" t="inlineStr"/>
      <c r="V12" s="2" t="inlineStr">
        <is>
          <t>bavergur@hotmail.com|techne musical lab</t>
        </is>
      </c>
    </row>
    <row r="13">
      <c r="A13" s="3" t="n">
        <v>46276</v>
      </c>
      <c r="B13" s="2" t="inlineStr">
        <is>
          <t>Form</t>
        </is>
      </c>
      <c r="C13" s="2" t="inlineStr">
        <is>
          <t>The Auteur Lab</t>
        </is>
      </c>
      <c r="D13" s="2" t="inlineStr">
        <is>
          <t>Kadıköy · 12 Eylül Cumartesi · 16:30</t>
        </is>
      </c>
      <c r="E13" s="2" t="inlineStr">
        <is>
          <t>teresa Lee</t>
        </is>
      </c>
      <c r="F13" s="4" t="inlineStr">
        <is>
          <t>+905308569096</t>
        </is>
      </c>
      <c r="G13" s="2" t="inlineStr">
        <is>
          <t>teresalee1310@gmail.com</t>
        </is>
      </c>
      <c r="H13" s="2" t="inlineStr">
        <is>
          <t>@tt_l_d</t>
        </is>
      </c>
      <c r="I13" s="2" t="n">
        <v>50</v>
      </c>
      <c r="J13" s="2" t="inlineStr">
        <is>
          <t>Housewife</t>
        </is>
      </c>
      <c r="K13" s="2" t="inlineStr"/>
      <c r="L13" s="2" t="inlineStr"/>
      <c r="M13" s="2" t="inlineStr">
        <is>
          <t>Instagram</t>
        </is>
      </c>
      <c r="N13" s="2" t="inlineStr">
        <is>
          <t>Evet</t>
        </is>
      </c>
      <c r="O13" s="2" t="inlineStr">
        <is>
          <t>1-Yeni</t>
        </is>
      </c>
      <c r="P13" s="2" t="n">
        <v>0</v>
      </c>
      <c r="Q13" s="3" t="n"/>
      <c r="R13" s="2" t="inlineStr">
        <is>
          <t>Tanışma geçti: geldi mi, kaydoldu mu? Ara ve DURUM'u düzelt</t>
        </is>
      </c>
      <c r="S13" s="3" t="n">
        <v>46282</v>
      </c>
      <c r="T13" s="2" t="n"/>
      <c r="U13" s="2" t="inlineStr"/>
      <c r="V13" s="2" t="inlineStr">
        <is>
          <t>teresalee1310@gmail.com|the auteur lab</t>
        </is>
      </c>
    </row>
    <row r="14">
      <c r="A14" s="3" t="n">
        <v>46276</v>
      </c>
      <c r="B14" s="2" t="inlineStr">
        <is>
          <t>Form</t>
        </is>
      </c>
      <c r="C14" s="2" t="inlineStr">
        <is>
          <t>Broadway Musical Dance</t>
        </is>
      </c>
      <c r="D14" s="2" t="inlineStr">
        <is>
          <t>Kadıköy · 12 Eylül Cumartesi · 18:30</t>
        </is>
      </c>
      <c r="E14" s="2" t="inlineStr">
        <is>
          <t>ZÜMRÜT TETİK</t>
        </is>
      </c>
      <c r="F14" s="4" t="inlineStr">
        <is>
          <t>5423828544</t>
        </is>
      </c>
      <c r="G14" s="2" t="inlineStr">
        <is>
          <t>zumrutpinar@hotmail.com</t>
        </is>
      </c>
      <c r="H14" s="2" t="inlineStr">
        <is>
          <t>@zumruttetik</t>
        </is>
      </c>
      <c r="I14" s="2" t="n">
        <v>51</v>
      </c>
      <c r="J14" s="2" t="inlineStr">
        <is>
          <t>Mühendis</t>
        </is>
      </c>
      <c r="K14" s="2" t="inlineStr"/>
      <c r="L14" s="2" t="inlineStr">
        <is>
          <t>Deneyim: Yok / Beklenti: Amatör olarak öğrenmek için pilatese gidiyorum keyifli ve hareketli olduğundan</t>
        </is>
      </c>
      <c r="M14" s="2" t="inlineStr">
        <is>
          <t>Instagram</t>
        </is>
      </c>
      <c r="N14" s="2" t="inlineStr">
        <is>
          <t>Evet</t>
        </is>
      </c>
      <c r="O14" s="2" t="inlineStr">
        <is>
          <t>1-Yeni</t>
        </is>
      </c>
      <c r="P14" s="2" t="n">
        <v>0</v>
      </c>
      <c r="Q14" s="3" t="n"/>
      <c r="R14" s="2" t="inlineStr">
        <is>
          <t>Tanışma geçti: geldi mi, kaydoldu mu? Ara ve DURUM'u düzelt</t>
        </is>
      </c>
      <c r="S14" s="3" t="n">
        <v>46282</v>
      </c>
      <c r="T14" s="2" t="n"/>
      <c r="U14" s="2" t="inlineStr"/>
      <c r="V14" s="2" t="inlineStr">
        <is>
          <t>zumrutpinar@hotmail.com|broadway musical dance</t>
        </is>
      </c>
    </row>
    <row r="15">
      <c r="A15" s="3" t="n">
        <v>46276</v>
      </c>
      <c r="B15" s="2" t="inlineStr">
        <is>
          <t>Form</t>
        </is>
      </c>
      <c r="C15" s="2" t="inlineStr">
        <is>
          <t>Broadway Musical Dance</t>
        </is>
      </c>
      <c r="D15" s="2" t="inlineStr">
        <is>
          <t>Kadıköy · 12 Eylül Cumartesi · 18:30</t>
        </is>
      </c>
      <c r="E15" s="2" t="inlineStr">
        <is>
          <t>Alperen Alp</t>
        </is>
      </c>
      <c r="F15" s="4" t="inlineStr">
        <is>
          <t>05344284591</t>
        </is>
      </c>
      <c r="G15" s="2" t="inlineStr">
        <is>
          <t>alperen.alp045@gmail.com</t>
        </is>
      </c>
      <c r="H15" s="2" t="inlineStr"/>
      <c r="I15" s="2" t="n">
        <v>25</v>
      </c>
      <c r="J15" s="2" t="inlineStr">
        <is>
          <t>Mühendis</t>
        </is>
      </c>
      <c r="K15" s="2" t="inlineStr"/>
      <c r="L15" s="2" t="inlineStr"/>
      <c r="M15" s="2" t="inlineStr">
        <is>
          <t>Instagram</t>
        </is>
      </c>
      <c r="N15" s="2" t="inlineStr">
        <is>
          <t>Hayır</t>
        </is>
      </c>
      <c r="O15" s="2" t="inlineStr">
        <is>
          <t>1-Yeni</t>
        </is>
      </c>
      <c r="P15" s="2" t="n">
        <v>0</v>
      </c>
      <c r="Q15" s="3" t="n"/>
      <c r="R15" s="2" t="inlineStr">
        <is>
          <t>Tanışma geçti: geldi mi, kaydoldu mu? Ara ve DURUM'u düzelt</t>
        </is>
      </c>
      <c r="S15" s="3" t="n">
        <v>46282</v>
      </c>
      <c r="T15" s="2" t="n"/>
      <c r="U15" s="2" t="inlineStr"/>
      <c r="V15" s="2" t="inlineStr">
        <is>
          <t>alperen.alp045@gmail.com|broadway musical dance</t>
        </is>
      </c>
    </row>
    <row r="16">
      <c r="A16" s="3" t="n">
        <v>46276</v>
      </c>
      <c r="B16" s="2" t="inlineStr">
        <is>
          <t>Form</t>
        </is>
      </c>
      <c r="C16" s="2" t="inlineStr">
        <is>
          <t>Broadway Musical Dance</t>
        </is>
      </c>
      <c r="D16" s="2" t="inlineStr">
        <is>
          <t>Kadıköy · 12 Eylül Cumartesi · 18:30</t>
        </is>
      </c>
      <c r="E16" s="2" t="inlineStr">
        <is>
          <t>Birkan VATANSEVER</t>
        </is>
      </c>
      <c r="F16" s="4" t="inlineStr">
        <is>
          <t>+905534275889</t>
        </is>
      </c>
      <c r="G16" s="2" t="inlineStr">
        <is>
          <t>birkanv@icloud.com</t>
        </is>
      </c>
      <c r="H16" s="2" t="inlineStr"/>
      <c r="I16" s="2" t="n">
        <v>26</v>
      </c>
      <c r="J16" s="2" t="inlineStr">
        <is>
          <t>Askeri personel</t>
        </is>
      </c>
      <c r="K16" s="2" t="inlineStr"/>
      <c r="L16" s="2" t="inlineStr"/>
      <c r="M16" s="2" t="inlineStr">
        <is>
          <t>Instagram</t>
        </is>
      </c>
      <c r="N16" s="2" t="inlineStr">
        <is>
          <t>Evet</t>
        </is>
      </c>
      <c r="O16" s="2" t="inlineStr">
        <is>
          <t>1-Yeni</t>
        </is>
      </c>
      <c r="P16" s="2" t="n">
        <v>0</v>
      </c>
      <c r="Q16" s="3" t="n"/>
      <c r="R16" s="2" t="inlineStr">
        <is>
          <t>Tanışma geçti: geldi mi, kaydoldu mu? Ara ve DURUM'u düzelt</t>
        </is>
      </c>
      <c r="S16" s="3" t="n">
        <v>46282</v>
      </c>
      <c r="T16" s="2" t="n"/>
      <c r="U16" s="2" t="inlineStr"/>
      <c r="V16" s="2" t="inlineStr">
        <is>
          <t>birkanv@icloud.com|broadway musical dance</t>
        </is>
      </c>
    </row>
    <row r="17">
      <c r="A17" s="3" t="n">
        <v>46277</v>
      </c>
      <c r="B17" s="2" t="inlineStr">
        <is>
          <t>Form</t>
        </is>
      </c>
      <c r="C17" s="2" t="inlineStr">
        <is>
          <t>English Acting Praxis</t>
        </is>
      </c>
      <c r="D17" s="2" t="inlineStr">
        <is>
          <t>Taksim Pera · 19 Eylül Cumartesi · 17:00</t>
        </is>
      </c>
      <c r="E17" s="2" t="inlineStr">
        <is>
          <t>Nur Yilmazlar</t>
        </is>
      </c>
      <c r="F17" s="4" t="inlineStr">
        <is>
          <t>5053155319</t>
        </is>
      </c>
      <c r="G17" s="2" t="inlineStr">
        <is>
          <t>nyilmazlar@hotmail.com</t>
        </is>
      </c>
      <c r="H17" s="2" t="inlineStr">
        <is>
          <t>@nyilmazlar</t>
        </is>
      </c>
      <c r="I17" s="2" t="n">
        <v>56</v>
      </c>
      <c r="J17" s="2" t="inlineStr">
        <is>
          <t>Hukukçu</t>
        </is>
      </c>
      <c r="K17" s="2" t="inlineStr">
        <is>
          <t>B1</t>
        </is>
      </c>
      <c r="L17" s="2" t="inlineStr">
        <is>
          <t>Beklenti: Günlük hayatta seyahatlerinde iletişim kurmak için eğlenerek İngilizce öğrenmek, meraklı eğlenceli bir ortamda benzer duyguda insanlarla tanışmak</t>
        </is>
      </c>
      <c r="M17" s="2" t="inlineStr">
        <is>
          <t>Instagram</t>
        </is>
      </c>
      <c r="N17" s="2" t="inlineStr">
        <is>
          <t>Evet</t>
        </is>
      </c>
      <c r="O17" s="2" t="inlineStr">
        <is>
          <t>4-Tanışmaya gelecek</t>
        </is>
      </c>
      <c r="P17" s="2" t="n">
        <v>0</v>
      </c>
      <c r="Q17" s="3" t="n"/>
      <c r="R17" s="2" t="inlineStr">
        <is>
          <t>Tanışmadan 1 gün önce hatırlatma mesajı</t>
        </is>
      </c>
      <c r="S17" s="3" t="n">
        <v>46283</v>
      </c>
      <c r="T17" s="2" t="n"/>
      <c r="U17" s="2" t="inlineStr"/>
      <c r="V17" s="2" t="inlineStr">
        <is>
          <t>nyilmazlar@hotmail.com|english acting praxis</t>
        </is>
      </c>
    </row>
    <row r="18">
      <c r="A18" s="3" t="n">
        <v>46277</v>
      </c>
      <c r="B18" s="2" t="inlineStr">
        <is>
          <t>Form</t>
        </is>
      </c>
      <c r="C18" s="2" t="inlineStr">
        <is>
          <t>English Acting Praxis</t>
        </is>
      </c>
      <c r="D18" s="2" t="inlineStr">
        <is>
          <t>Taksim Pera · 19 Eylül Cumartesi · 17:00</t>
        </is>
      </c>
      <c r="E18" s="2" t="inlineStr">
        <is>
          <t>Yunus Turkili</t>
        </is>
      </c>
      <c r="F18" s="4" t="inlineStr">
        <is>
          <t>5324556714</t>
        </is>
      </c>
      <c r="G18" s="2" t="inlineStr">
        <is>
          <t>yunus_t@yahoo.com</t>
        </is>
      </c>
      <c r="H18" s="2" t="inlineStr">
        <is>
          <t>@yturkili</t>
        </is>
      </c>
      <c r="I18" s="2" t="n">
        <v>47</v>
      </c>
      <c r="J18" s="2" t="inlineStr">
        <is>
          <t>Mühendis</t>
        </is>
      </c>
      <c r="K18" s="2" t="inlineStr">
        <is>
          <t>C1 ve üzeri</t>
        </is>
      </c>
      <c r="L18" s="2" t="inlineStr"/>
      <c r="M18" s="2" t="inlineStr">
        <is>
          <t>Instagram</t>
        </is>
      </c>
      <c r="N18" s="2" t="inlineStr">
        <is>
          <t>Hayır</t>
        </is>
      </c>
      <c r="O18" s="2" t="inlineStr">
        <is>
          <t>4-Tanışmaya gelecek</t>
        </is>
      </c>
      <c r="P18" s="2" t="n">
        <v>0</v>
      </c>
      <c r="Q18" s="3" t="n"/>
      <c r="R18" s="2" t="inlineStr">
        <is>
          <t>Tanışmadan 1 gün önce hatırlatma mesajı</t>
        </is>
      </c>
      <c r="S18" s="3" t="n">
        <v>46283</v>
      </c>
      <c r="T18" s="2" t="n"/>
      <c r="U18" s="2" t="inlineStr"/>
      <c r="V18" s="2" t="inlineStr">
        <is>
          <t>yunus_t@yahoo.com|english acting praxis</t>
        </is>
      </c>
    </row>
    <row r="19">
      <c r="A19" s="3" t="n">
        <v>46277</v>
      </c>
      <c r="B19" s="2" t="inlineStr">
        <is>
          <t>Form</t>
        </is>
      </c>
      <c r="C19" s="2" t="inlineStr">
        <is>
          <t>English Drama Lab</t>
        </is>
      </c>
      <c r="D19" s="2" t="inlineStr">
        <is>
          <t>Kadıköy · 12 Eylül Cumartesi · 14:00</t>
        </is>
      </c>
      <c r="E19" s="2" t="inlineStr">
        <is>
          <t>Şerif</t>
        </is>
      </c>
      <c r="F19" s="4" t="inlineStr">
        <is>
          <t>5325538040</t>
        </is>
      </c>
      <c r="G19" s="2" t="inlineStr">
        <is>
          <t>serifakdeniz0@gmail.com</t>
        </is>
      </c>
      <c r="H19" s="2" t="inlineStr">
        <is>
          <t>@serifakdenizz</t>
        </is>
      </c>
      <c r="I19" s="2" t="n">
        <v>29</v>
      </c>
      <c r="J19" s="2" t="inlineStr">
        <is>
          <t>Mühendis</t>
        </is>
      </c>
      <c r="K19" s="2" t="inlineStr">
        <is>
          <t>B1</t>
        </is>
      </c>
      <c r="L19" s="2" t="inlineStr">
        <is>
          <t>Beklenti: İngilizce ile tiyatro deneyimlemek ve İngilizce yetkinliğini artırmak</t>
        </is>
      </c>
      <c r="M19" s="2" t="inlineStr">
        <is>
          <t>Instagram</t>
        </is>
      </c>
      <c r="N19" s="2" t="inlineStr">
        <is>
          <t>Evet</t>
        </is>
      </c>
      <c r="O19" s="2" t="inlineStr">
        <is>
          <t>1-Yeni</t>
        </is>
      </c>
      <c r="P19" s="2" t="n">
        <v>0</v>
      </c>
      <c r="Q19" s="3" t="n"/>
      <c r="R19" s="2" t="inlineStr">
        <is>
          <t>Tanışma geçti: geldi mi, kaydoldu mu? Ara ve DURUM'u düzelt</t>
        </is>
      </c>
      <c r="S19" s="3" t="n">
        <v>46282</v>
      </c>
      <c r="T19" s="2" t="n"/>
      <c r="U19" s="2" t="inlineStr"/>
      <c r="V19" s="2" t="inlineStr">
        <is>
          <t>serifakdeniz0@gmail.com|english drama lab</t>
        </is>
      </c>
    </row>
    <row r="20">
      <c r="A20" s="3" t="n">
        <v>46277</v>
      </c>
      <c r="B20" s="2" t="inlineStr">
        <is>
          <t>Form</t>
        </is>
      </c>
      <c r="C20" s="2" t="inlineStr">
        <is>
          <t>Broadway Musical Dance</t>
        </is>
      </c>
      <c r="D20" s="2" t="inlineStr">
        <is>
          <t>Kadıköy · 12 Eylül Cumartesi · 18:30</t>
        </is>
      </c>
      <c r="E20" s="2" t="inlineStr">
        <is>
          <t>Havin Gureli</t>
        </is>
      </c>
      <c r="F20" s="4" t="inlineStr">
        <is>
          <t>+905442335771</t>
        </is>
      </c>
      <c r="G20" s="2" t="inlineStr">
        <is>
          <t>havingureli@gmail.com</t>
        </is>
      </c>
      <c r="H20" s="2" t="inlineStr">
        <is>
          <t>@havingrl</t>
        </is>
      </c>
      <c r="I20" s="2" t="n">
        <v>16</v>
      </c>
      <c r="J20" s="2" t="inlineStr">
        <is>
          <t>Güzel sanatlar öğrencisi</t>
        </is>
      </c>
      <c r="K20" s="2" t="inlineStr"/>
      <c r="L20" s="2" t="inlineStr">
        <is>
          <t>Deneyim: Güzel sanatlar lisesi tiyatro bölümü 11. sınıf öğrencisi; Dormen Akademi 1 sene müzikal tiyatro eğitimi / Beklenti: Tiyatronun yanında başka dallarda da eğitim almak ve kendini geliştirmek</t>
        </is>
      </c>
      <c r="M20" s="2" t="inlineStr">
        <is>
          <t>Instagram</t>
        </is>
      </c>
      <c r="N20" s="2" t="inlineStr">
        <is>
          <t>Hayır</t>
        </is>
      </c>
      <c r="O20" s="2" t="inlineStr">
        <is>
          <t>1-Yeni</t>
        </is>
      </c>
      <c r="P20" s="2" t="n">
        <v>0</v>
      </c>
      <c r="Q20" s="3" t="n"/>
      <c r="R20" s="2" t="inlineStr">
        <is>
          <t>Tanışma geçti: geldi mi, kaydoldu mu? Ara ve DURUM'u düzelt</t>
        </is>
      </c>
      <c r="S20" s="3" t="n">
        <v>46282</v>
      </c>
      <c r="T20" s="2" t="n"/>
      <c r="U20" s="2" t="inlineStr">
        <is>
          <t>18 yaş altı (16) — formda veli bilgisi yok, teyit gerekli</t>
        </is>
      </c>
      <c r="V20" s="2" t="inlineStr">
        <is>
          <t>havingureli@gmail.com|broadway musical dance</t>
        </is>
      </c>
    </row>
    <row r="21">
      <c r="A21" s="3" t="n">
        <v>46277</v>
      </c>
      <c r="B21" s="2" t="inlineStr">
        <is>
          <t>Form</t>
        </is>
      </c>
      <c r="C21" s="2" t="inlineStr">
        <is>
          <t>Techne Musical Lab</t>
        </is>
      </c>
      <c r="D21" s="2" t="inlineStr">
        <is>
          <t>Kadıköy · 12 Eylül Cumartesi · 18:30</t>
        </is>
      </c>
      <c r="E21" s="2" t="inlineStr">
        <is>
          <t>Sibel Türkmen</t>
        </is>
      </c>
      <c r="F21" s="4" t="inlineStr">
        <is>
          <t>+905325832317</t>
        </is>
      </c>
      <c r="G21" s="2" t="inlineStr">
        <is>
          <t>sibelturkmen@gmail.com</t>
        </is>
      </c>
      <c r="H21" s="2" t="inlineStr">
        <is>
          <t>@sibelturkmennn</t>
        </is>
      </c>
      <c r="I21" s="2" t="n">
        <v>47</v>
      </c>
      <c r="J21" s="2" t="inlineStr">
        <is>
          <t>Mimar, Oyuncu, Şarkıcı</t>
        </is>
      </c>
      <c r="K21" s="2" t="inlineStr"/>
      <c r="L21" s="2" t="inlineStr">
        <is>
          <t>Deneyim: Şekerpare uyarlamasında Peyker rolü; piyano, şan ve müzikal eğitimi; TRT Klasik Batı Müziği Gençlik Korosu, LG İstanbul müzikal korosu, Acapella Grup 34; Plato Film kamera önü oyunculuk sertifikası; Ayla Algan ve Meltem Taşkıran ile çalışma; dramatik soprano / Beklenti: Sahne kariyeri yapmak</t>
        </is>
      </c>
      <c r="M21" s="2" t="inlineStr">
        <is>
          <t>Instagram</t>
        </is>
      </c>
      <c r="N21" s="2" t="inlineStr">
        <is>
          <t>Evet</t>
        </is>
      </c>
      <c r="O21" s="2" t="inlineStr">
        <is>
          <t>1-Yeni</t>
        </is>
      </c>
      <c r="P21" s="2" t="n">
        <v>0</v>
      </c>
      <c r="Q21" s="3" t="n"/>
      <c r="R21" s="2" t="inlineStr">
        <is>
          <t>Tanışma geçti: geldi mi, kaydoldu mu? Ara ve DURUM'u düzelt</t>
        </is>
      </c>
      <c r="S21" s="3" t="n">
        <v>46282</v>
      </c>
      <c r="T21" s="2" t="n"/>
      <c r="U21" s="2" t="inlineStr"/>
      <c r="V21" s="2" t="inlineStr">
        <is>
          <t>sibelturkmen@gmail.com|techne musical lab</t>
        </is>
      </c>
    </row>
    <row r="22">
      <c r="A22" s="3" t="n">
        <v>46277</v>
      </c>
      <c r="B22" s="2" t="inlineStr">
        <is>
          <t>Form</t>
        </is>
      </c>
      <c r="C22" s="2" t="inlineStr">
        <is>
          <t>Broadway Musical Dance</t>
        </is>
      </c>
      <c r="D22" s="2" t="inlineStr">
        <is>
          <t>Taksim Pera · 19 Eylül Cumartesi · 19:00</t>
        </is>
      </c>
      <c r="E22" s="2" t="inlineStr">
        <is>
          <t>Eylül Akkurt</t>
        </is>
      </c>
      <c r="F22" s="4" t="inlineStr">
        <is>
          <t>05330855311</t>
        </is>
      </c>
      <c r="G22" s="2" t="inlineStr">
        <is>
          <t>eylul_akkurt@hotmail.com</t>
        </is>
      </c>
      <c r="H22" s="2" t="inlineStr">
        <is>
          <t>@eylulakkurt</t>
        </is>
      </c>
      <c r="I22" s="2" t="n">
        <v>38</v>
      </c>
      <c r="J22" s="2" t="inlineStr">
        <is>
          <t>Kabin memuru</t>
        </is>
      </c>
      <c r="K22" s="2" t="inlineStr"/>
      <c r="L22" s="2" t="inlineStr">
        <is>
          <t>Beklenti: Dans etmeyi çok seviyor</t>
        </is>
      </c>
      <c r="M22" s="2" t="inlineStr">
        <is>
          <t>Instagram</t>
        </is>
      </c>
      <c r="N22" s="2" t="inlineStr">
        <is>
          <t>Evet</t>
        </is>
      </c>
      <c r="O22" s="2" t="inlineStr">
        <is>
          <t>4-Tanışmaya gelecek</t>
        </is>
      </c>
      <c r="P22" s="2" t="n">
        <v>0</v>
      </c>
      <c r="Q22" s="3" t="n"/>
      <c r="R22" s="2" t="inlineStr">
        <is>
          <t>Tanışmadan 1 gün önce hatırlatma mesajı</t>
        </is>
      </c>
      <c r="S22" s="3" t="n">
        <v>46283</v>
      </c>
      <c r="T22" s="2" t="n"/>
      <c r="U22" s="2" t="inlineStr"/>
      <c r="V22" s="2" t="inlineStr">
        <is>
          <t>eylul_akkurt@hotmail.com|broadway musical dance</t>
        </is>
      </c>
    </row>
    <row r="23">
      <c r="A23" s="3" t="n">
        <v>46278</v>
      </c>
      <c r="B23" s="2" t="inlineStr">
        <is>
          <t>Form</t>
        </is>
      </c>
      <c r="C23" s="2" t="inlineStr">
        <is>
          <t>English Acting Praxis</t>
        </is>
      </c>
      <c r="D23" s="2" t="inlineStr">
        <is>
          <t>Taksim Pera · 19 Eylül Cumartesi · 17:00</t>
        </is>
      </c>
      <c r="E23" s="2" t="inlineStr">
        <is>
          <t>Zeyna Karaşin</t>
        </is>
      </c>
      <c r="F23" s="4" t="inlineStr">
        <is>
          <t>05385882603</t>
        </is>
      </c>
      <c r="G23" s="2" t="inlineStr">
        <is>
          <t>zeynakarashan@gmail.com</t>
        </is>
      </c>
      <c r="H23" s="2" t="inlineStr">
        <is>
          <t>@Zeynakarasn</t>
        </is>
      </c>
      <c r="I23" s="2" t="n">
        <v>25</v>
      </c>
      <c r="J23" s="2" t="inlineStr">
        <is>
          <t>Öğrenci</t>
        </is>
      </c>
      <c r="K23" s="2" t="inlineStr">
        <is>
          <t>C1 ve üzeri</t>
        </is>
      </c>
      <c r="L23" s="2" t="inlineStr">
        <is>
          <t>Deneyim: Sahne sanatları eğitiminin başında / Beklenti: Globalde oyuncu olmak; İngilizce sahne çalışmanın heyecanını yaşamak</t>
        </is>
      </c>
      <c r="M23" s="2" t="inlineStr">
        <is>
          <t>Instagram</t>
        </is>
      </c>
      <c r="N23" s="2" t="inlineStr">
        <is>
          <t>Evet</t>
        </is>
      </c>
      <c r="O23" s="2" t="inlineStr">
        <is>
          <t>4-Tanışmaya gelecek</t>
        </is>
      </c>
      <c r="P23" s="2" t="n">
        <v>0</v>
      </c>
      <c r="Q23" s="3" t="n"/>
      <c r="R23" s="2" t="inlineStr">
        <is>
          <t>Tanışmadan 1 gün önce hatırlatma mesajı</t>
        </is>
      </c>
      <c r="S23" s="3" t="n">
        <v>46283</v>
      </c>
      <c r="T23" s="2" t="n"/>
      <c r="U23" s="2" t="inlineStr"/>
      <c r="V23" s="2" t="inlineStr">
        <is>
          <t>zeynakarashan@gmail.com|english acting praxis</t>
        </is>
      </c>
    </row>
    <row r="24">
      <c r="A24" s="3" t="n">
        <v>46280</v>
      </c>
      <c r="B24" s="2" t="inlineStr">
        <is>
          <t>Form</t>
        </is>
      </c>
      <c r="C24" s="2" t="inlineStr">
        <is>
          <t>Techne Musical Lab</t>
        </is>
      </c>
      <c r="D24" s="2" t="inlineStr">
        <is>
          <t>Taksim Pera · 19 Eylül Cumartesi · 19:00</t>
        </is>
      </c>
      <c r="E24" s="2" t="inlineStr">
        <is>
          <t>Duru Ince</t>
        </is>
      </c>
      <c r="F24" s="4" t="inlineStr">
        <is>
          <t>0533 637 06 22</t>
        </is>
      </c>
      <c r="G24" s="2" t="inlineStr">
        <is>
          <t>duru0ince@gmail.com</t>
        </is>
      </c>
      <c r="H24" s="2" t="inlineStr">
        <is>
          <t>@dduruince</t>
        </is>
      </c>
      <c r="I24" s="2" t="n">
        <v>15</v>
      </c>
      <c r="J24" s="2" t="inlineStr">
        <is>
          <t>Öğrenci</t>
        </is>
      </c>
      <c r="K24" s="2" t="inlineStr"/>
      <c r="L24" s="2" t="inlineStr">
        <is>
          <t>Deneyim: Küçükken okulda sergilenen tiyatrolarda oynadı / Beklenti: Müzikal tiyatroda kendini geliştirmek</t>
        </is>
      </c>
      <c r="M24" s="2" t="inlineStr">
        <is>
          <t>Google</t>
        </is>
      </c>
      <c r="N24" s="2" t="inlineStr">
        <is>
          <t>Evet</t>
        </is>
      </c>
      <c r="O24" s="2" t="inlineStr">
        <is>
          <t>4-Tanışmaya gelecek</t>
        </is>
      </c>
      <c r="P24" s="2" t="n">
        <v>0</v>
      </c>
      <c r="Q24" s="3" t="n"/>
      <c r="R24" s="2" t="inlineStr">
        <is>
          <t>Tanışmadan 1 gün önce hatırlatma mesajı</t>
        </is>
      </c>
      <c r="S24" s="3" t="n">
        <v>46283</v>
      </c>
      <c r="T24" s="2" t="n"/>
      <c r="U24" s="2" t="inlineStr">
        <is>
          <t>Techne Musical Lab kaydı (Broadway ile ortak seans) · 18 yaş altı (15) — formda veli bilgisi yok, teyit gerekli</t>
        </is>
      </c>
      <c r="V24" s="2" t="inlineStr">
        <is>
          <t>duru0ince@gmail.com|techne musical lab</t>
        </is>
      </c>
    </row>
    <row r="25">
      <c r="A25" s="3" t="n">
        <v>46280</v>
      </c>
      <c r="B25" s="2" t="inlineStr">
        <is>
          <t>Form</t>
        </is>
      </c>
      <c r="C25" s="2" t="inlineStr">
        <is>
          <t>English Acting Praxis</t>
        </is>
      </c>
      <c r="D25" s="2" t="inlineStr">
        <is>
          <t>Taksim Pera · 19 Eylül Cumartesi · 17:00</t>
        </is>
      </c>
      <c r="E25" s="2" t="inlineStr">
        <is>
          <t>Fulden Melis Şenocak</t>
        </is>
      </c>
      <c r="F25" s="4" t="inlineStr">
        <is>
          <t>0505 472 51 93</t>
        </is>
      </c>
      <c r="G25" s="2" t="inlineStr">
        <is>
          <t>fuldenmeliss@hotmail.com</t>
        </is>
      </c>
      <c r="H25" s="2" t="inlineStr">
        <is>
          <t>@fuldenmelis</t>
        </is>
      </c>
      <c r="I25" s="2" t="n">
        <v>33</v>
      </c>
      <c r="J25" s="2" t="inlineStr">
        <is>
          <t>Avukat/Oyuncu</t>
        </is>
      </c>
      <c r="K25" s="2" t="inlineStr">
        <is>
          <t>C1 ve üzeri</t>
        </is>
      </c>
      <c r="L25" s="2" t="inlineStr">
        <is>
          <t>Deneyim: İTÜ Müzikal - Heathers Müzikali; Keşanlı Ali Destanı - Müjdat Gezen Sanat Merkezi / Beklenti: İngilizce monolog çalışmak ve sunum dosyasına İngilizce audition eklemek</t>
        </is>
      </c>
      <c r="M25" s="2" t="inlineStr">
        <is>
          <t>Instagram</t>
        </is>
      </c>
      <c r="N25" s="2" t="inlineStr">
        <is>
          <t>Evet</t>
        </is>
      </c>
      <c r="O25" s="2" t="inlineStr">
        <is>
          <t>4-Tanışmaya gelecek</t>
        </is>
      </c>
      <c r="P25" s="2" t="n">
        <v>0</v>
      </c>
      <c r="Q25" s="3" t="n"/>
      <c r="R25" s="2" t="inlineStr">
        <is>
          <t>Tanışmadan 1 gün önce hatırlatma mesajı</t>
        </is>
      </c>
      <c r="S25" s="3" t="n">
        <v>46283</v>
      </c>
      <c r="T25" s="2" t="n"/>
      <c r="U25" s="2" t="inlineStr"/>
      <c r="V25" s="2" t="inlineStr">
        <is>
          <t>fuldenmeliss@hotmail.com|english acting praxis</t>
        </is>
      </c>
    </row>
    <row r="26">
      <c r="A26" s="3" t="n">
        <v>46280</v>
      </c>
      <c r="B26" s="2" t="inlineStr">
        <is>
          <t>Form</t>
        </is>
      </c>
      <c r="C26" s="2" t="inlineStr">
        <is>
          <t>Broadway Musical Dance</t>
        </is>
      </c>
      <c r="D26" s="2" t="inlineStr">
        <is>
          <t>Taksim Pera · 19 Eylül Cumartesi · 19:00</t>
        </is>
      </c>
      <c r="E26" s="2" t="inlineStr">
        <is>
          <t>Sandra bahar</t>
        </is>
      </c>
      <c r="F26" s="4" t="inlineStr">
        <is>
          <t>0533 297 13 32</t>
        </is>
      </c>
      <c r="G26" s="2" t="inlineStr">
        <is>
          <t>sandraba@yahoo.com</t>
        </is>
      </c>
      <c r="H26" s="2" t="inlineStr">
        <is>
          <t>@sandra.bahar</t>
        </is>
      </c>
      <c r="I26" s="2" t="n">
        <v>46</v>
      </c>
      <c r="J26" s="2" t="inlineStr">
        <is>
          <t>Çocuk Gelişim Uzmanı</t>
        </is>
      </c>
      <c r="K26" s="2" t="inlineStr"/>
      <c r="L26" s="2" t="inlineStr">
        <is>
          <t>Deneyim: Yaratıcı drama eğitmeni olarak tiyatro tekniklerine aşina; latin dansları başlangıç eğitimlerine katıldı / Beklenti: Eğlenmek</t>
        </is>
      </c>
      <c r="M26" s="2" t="inlineStr">
        <is>
          <t>Instagram</t>
        </is>
      </c>
      <c r="N26" s="2" t="inlineStr">
        <is>
          <t>Evet</t>
        </is>
      </c>
      <c r="O26" s="2" t="inlineStr">
        <is>
          <t>4-Tanışmaya gelecek</t>
        </is>
      </c>
      <c r="P26" s="2" t="n">
        <v>0</v>
      </c>
      <c r="Q26" s="3" t="n"/>
      <c r="R26" s="2" t="inlineStr">
        <is>
          <t>Tanışmadan 1 gün önce hatırlatma mesajı</t>
        </is>
      </c>
      <c r="S26" s="3" t="n">
        <v>46283</v>
      </c>
      <c r="T26" s="2" t="n"/>
      <c r="U26" s="2" t="inlineStr"/>
      <c r="V26" s="2" t="inlineStr">
        <is>
          <t>sandraba@yahoo.com|broadway musical dance</t>
        </is>
      </c>
    </row>
    <row r="27">
      <c r="A27" s="3" t="n">
        <v>46281</v>
      </c>
      <c r="B27" s="2" t="inlineStr">
        <is>
          <t>Form</t>
        </is>
      </c>
      <c r="C27" s="2" t="inlineStr">
        <is>
          <t>Broadway Musical Dance</t>
        </is>
      </c>
      <c r="D27" s="2" t="inlineStr">
        <is>
          <t>Taksim Pera · 19 Eylül Cumartesi · 19:00</t>
        </is>
      </c>
      <c r="E27" s="2" t="inlineStr">
        <is>
          <t>Nurcan Durak</t>
        </is>
      </c>
      <c r="F27" s="4" t="inlineStr">
        <is>
          <t>0551 166 95 63</t>
        </is>
      </c>
      <c r="G27" s="2" t="inlineStr">
        <is>
          <t>nurcanndurak@gmail.com</t>
        </is>
      </c>
      <c r="H27" s="2" t="inlineStr"/>
      <c r="I27" s="2" t="n">
        <v>26</v>
      </c>
      <c r="J27" s="2" t="inlineStr">
        <is>
          <t>Sivil Toplum Çalışanı</t>
        </is>
      </c>
      <c r="K27" s="2" t="inlineStr"/>
      <c r="L27" s="2" t="inlineStr">
        <is>
          <t>Deneyim: Daha önce hiç dans etmedi / Beklenti: Dansın kendini ifade etme biçimi olarak dışavurumcu halini seviyor; kolektif bir akışta birlikte üretmeyi denemek istiyor</t>
        </is>
      </c>
      <c r="M27" s="2" t="inlineStr">
        <is>
          <t>Instagram</t>
        </is>
      </c>
      <c r="N27" s="2" t="inlineStr">
        <is>
          <t>Hayır</t>
        </is>
      </c>
      <c r="O27" s="2" t="inlineStr">
        <is>
          <t>4-Tanışmaya gelecek</t>
        </is>
      </c>
      <c r="P27" s="2" t="n">
        <v>0</v>
      </c>
      <c r="Q27" s="3" t="n"/>
      <c r="R27" s="2" t="inlineStr">
        <is>
          <t>Tanışmadan 1 gün önce hatırlatma mesajı</t>
        </is>
      </c>
      <c r="S27" s="3" t="n">
        <v>46283</v>
      </c>
      <c r="T27" s="2" t="n"/>
      <c r="U27" s="2" t="inlineStr"/>
      <c r="V27" s="2" t="inlineStr">
        <is>
          <t>nurcanndurak@gmail.com|broadway musical dance</t>
        </is>
      </c>
    </row>
    <row r="28">
      <c r="A28" s="3" t="n">
        <v>46281</v>
      </c>
      <c r="B28" s="2" t="inlineStr">
        <is>
          <t>Form</t>
        </is>
      </c>
      <c r="C28" s="2" t="inlineStr">
        <is>
          <t>Broadway Musical Dance</t>
        </is>
      </c>
      <c r="D28" s="2" t="inlineStr">
        <is>
          <t>Taksim Pera · 19 Eylül Cumartesi · 19:00</t>
        </is>
      </c>
      <c r="E28" s="2" t="inlineStr">
        <is>
          <t>Duygu Özyurt</t>
        </is>
      </c>
      <c r="F28" s="4" t="inlineStr">
        <is>
          <t>0533 696 25 95</t>
        </is>
      </c>
      <c r="G28" s="2" t="inlineStr">
        <is>
          <t>duyguozyurtduygu@gmail.com</t>
        </is>
      </c>
      <c r="H28" s="2" t="inlineStr"/>
      <c r="I28" s="2" t="n">
        <v>42</v>
      </c>
      <c r="J28" s="2" t="inlineStr">
        <is>
          <t>Mühendis</t>
        </is>
      </c>
      <c r="K28" s="2" t="inlineStr"/>
      <c r="L28" s="2" t="inlineStr">
        <is>
          <t>Beklenti: Dans etmeyi seviyor; bir amaçla koreografi ile öğrenme fikri hoşuna gitti</t>
        </is>
      </c>
      <c r="M28" s="2" t="inlineStr">
        <is>
          <t>Instagram</t>
        </is>
      </c>
      <c r="N28" s="2" t="inlineStr">
        <is>
          <t>Evet</t>
        </is>
      </c>
      <c r="O28" s="2" t="inlineStr">
        <is>
          <t>4-Tanışmaya gelecek</t>
        </is>
      </c>
      <c r="P28" s="2" t="n">
        <v>0</v>
      </c>
      <c r="Q28" s="3" t="n"/>
      <c r="R28" s="2" t="inlineStr">
        <is>
          <t>Tanışmadan 1 gün önce hatırlatma mesajı</t>
        </is>
      </c>
      <c r="S28" s="3" t="n">
        <v>46283</v>
      </c>
      <c r="T28" s="2" t="n"/>
      <c r="U28" s="2" t="inlineStr"/>
      <c r="V28" s="2" t="inlineStr">
        <is>
          <t>duyguozyurtduygu@gmail.com|broadway musical dance</t>
        </is>
      </c>
    </row>
    <row r="29">
      <c r="A29" s="3" t="n">
        <v>46281</v>
      </c>
      <c r="B29" s="2" t="inlineStr">
        <is>
          <t>Form</t>
        </is>
      </c>
      <c r="C29" s="2" t="inlineStr">
        <is>
          <t>English Acting Praxis</t>
        </is>
      </c>
      <c r="D29" s="2" t="inlineStr">
        <is>
          <t>Taksim Pera · 19 Eylül Cumartesi · 17:00</t>
        </is>
      </c>
      <c r="E29" s="2" t="inlineStr">
        <is>
          <t>Yıldız Kılınç</t>
        </is>
      </c>
      <c r="F29" s="4" t="inlineStr">
        <is>
          <t>0536 646 21 41</t>
        </is>
      </c>
      <c r="G29" s="2" t="inlineStr">
        <is>
          <t>yildizklnc@gmail.com</t>
        </is>
      </c>
      <c r="H29" s="2" t="inlineStr"/>
      <c r="I29" s="2" t="n">
        <v>48</v>
      </c>
      <c r="J29" s="2" t="inlineStr">
        <is>
          <t>Yurtdışı Eğitim Danışmanı</t>
        </is>
      </c>
      <c r="K29" s="2" t="inlineStr">
        <is>
          <t>C1 ve üzeri</t>
        </is>
      </c>
      <c r="L29" s="2" t="inlineStr">
        <is>
          <t>Deneyim: Ayla Algan ve Şahika Tekand ile çalışma imkanı oldu (uzun zaman önce) / Beklenti: İngilizce oyunculuk çalışma deneyimi ilgisini çekti</t>
        </is>
      </c>
      <c r="M29" s="2" t="inlineStr">
        <is>
          <t>Instagram</t>
        </is>
      </c>
      <c r="N29" s="2" t="inlineStr">
        <is>
          <t>Evet</t>
        </is>
      </c>
      <c r="O29" s="2" t="inlineStr">
        <is>
          <t>4-Tanışmaya gelecek</t>
        </is>
      </c>
      <c r="P29" s="2" t="n">
        <v>0</v>
      </c>
      <c r="Q29" s="3" t="n"/>
      <c r="R29" s="2" t="inlineStr">
        <is>
          <t>Tanışmadan 1 gün önce hatırlatma mesajı</t>
        </is>
      </c>
      <c r="S29" s="3" t="n">
        <v>46283</v>
      </c>
      <c r="T29" s="2" t="n"/>
      <c r="U29" s="2" t="inlineStr"/>
      <c r="V29" s="2" t="inlineStr">
        <is>
          <t>yildizklnc@gmail.com|english acting praxis</t>
        </is>
      </c>
    </row>
    <row r="30">
      <c r="A30" s="3" t="n">
        <v>46281</v>
      </c>
      <c r="B30" s="2" t="inlineStr">
        <is>
          <t>Form</t>
        </is>
      </c>
      <c r="C30" s="2" t="inlineStr">
        <is>
          <t>English Drama Lab</t>
        </is>
      </c>
      <c r="D30" s="2" t="inlineStr">
        <is>
          <t>Taksim Pera · 19 Eylül Cumartesi · 15:00</t>
        </is>
      </c>
      <c r="E30" s="2" t="inlineStr">
        <is>
          <t>ceyda ilhan</t>
        </is>
      </c>
      <c r="F30" s="4" t="inlineStr">
        <is>
          <t>0538 967 56 96</t>
        </is>
      </c>
      <c r="G30" s="2" t="inlineStr">
        <is>
          <t>93ceyda@gmail.com</t>
        </is>
      </c>
      <c r="H30" s="2" t="inlineStr">
        <is>
          <t>@ceydailhan</t>
        </is>
      </c>
      <c r="I30" s="2" t="n">
        <v>33</v>
      </c>
      <c r="J30" s="2" t="inlineStr">
        <is>
          <t>Pilates stüdyo sahibi/öğrenci</t>
        </is>
      </c>
      <c r="K30" s="2" t="inlineStr">
        <is>
          <t>B1</t>
        </is>
      </c>
      <c r="L30" s="2" t="inlineStr">
        <is>
          <t>Beklenti: Tiyatro eğitimi almak ve İngilizce kendini rahat ifade edebilmek</t>
        </is>
      </c>
      <c r="M30" s="2" t="inlineStr">
        <is>
          <t>Instagram</t>
        </is>
      </c>
      <c r="N30" s="2" t="inlineStr">
        <is>
          <t>Evet</t>
        </is>
      </c>
      <c r="O30" s="2" t="inlineStr">
        <is>
          <t>4-Tanışmaya gelecek</t>
        </is>
      </c>
      <c r="P30" s="2" t="n">
        <v>0</v>
      </c>
      <c r="Q30" s="3" t="n"/>
      <c r="R30" s="2" t="inlineStr">
        <is>
          <t>Tanışmadan 1 gün önce hatırlatma mesajı</t>
        </is>
      </c>
      <c r="S30" s="3" t="n">
        <v>46283</v>
      </c>
      <c r="T30" s="2" t="n"/>
      <c r="U30" s="2" t="inlineStr"/>
      <c r="V30" s="2" t="inlineStr">
        <is>
          <t>93ceyda@gmail.com|english drama lab</t>
        </is>
      </c>
    </row>
    <row r="31">
      <c r="A31" s="3" t="n">
        <v>46281</v>
      </c>
      <c r="B31" s="2" t="inlineStr">
        <is>
          <t>Form</t>
        </is>
      </c>
      <c r="C31" s="2" t="inlineStr">
        <is>
          <t>Techne Musical Lab</t>
        </is>
      </c>
      <c r="D31" s="2" t="inlineStr">
        <is>
          <t>Taksim Pera · 19 Eylül Cumartesi · 19:00</t>
        </is>
      </c>
      <c r="E31" s="2" t="inlineStr">
        <is>
          <t>Emrecan Leblebici</t>
        </is>
      </c>
      <c r="F31" s="4" t="inlineStr">
        <is>
          <t>0555 679 60 96</t>
        </is>
      </c>
      <c r="G31" s="2" t="inlineStr">
        <is>
          <t>emrecanleb@gmail.com</t>
        </is>
      </c>
      <c r="H31" s="2" t="inlineStr">
        <is>
          <t>@Emrecanleb</t>
        </is>
      </c>
      <c r="I31" s="2" t="n">
        <v>37</v>
      </c>
      <c r="J31" s="2" t="inlineStr">
        <is>
          <t>Oyuncu</t>
        </is>
      </c>
      <c r="K31" s="2" t="inlineStr"/>
      <c r="L31" s="2" t="inlineStr">
        <is>
          <t>Beklenti: Tanışmak için</t>
        </is>
      </c>
      <c r="M31" s="2" t="inlineStr">
        <is>
          <t>Arkadaş tavsiyesi</t>
        </is>
      </c>
      <c r="N31" s="2" t="inlineStr">
        <is>
          <t>Evet</t>
        </is>
      </c>
      <c r="O31" s="2" t="inlineStr">
        <is>
          <t>4-Tanışmaya gelecek</t>
        </is>
      </c>
      <c r="P31" s="2" t="n">
        <v>0</v>
      </c>
      <c r="Q31" s="3" t="n"/>
      <c r="R31" s="2" t="inlineStr">
        <is>
          <t>Tanışmadan 1 gün önce hatırlatma mesajı</t>
        </is>
      </c>
      <c r="S31" s="3" t="n">
        <v>46283</v>
      </c>
      <c r="T31" s="2" t="n"/>
      <c r="U31" s="2" t="inlineStr">
        <is>
          <t>Techne Musical Lab kaydı (Broadway ile ortak seans)</t>
        </is>
      </c>
      <c r="V31" s="2" t="inlineStr">
        <is>
          <t>emrecanleb@gmail.com|techne musical lab</t>
        </is>
      </c>
    </row>
    <row r="32">
      <c r="A32" s="3" t="n">
        <v>46281</v>
      </c>
      <c r="B32" s="2" t="inlineStr">
        <is>
          <t>Form</t>
        </is>
      </c>
      <c r="C32" s="2" t="inlineStr">
        <is>
          <t>Broadway Musical Dance</t>
        </is>
      </c>
      <c r="D32" s="2" t="inlineStr">
        <is>
          <t>Taksim Pera · 19 Eylül Cumartesi · 19:00</t>
        </is>
      </c>
      <c r="E32" s="2" t="inlineStr">
        <is>
          <t>Selin Seçen</t>
        </is>
      </c>
      <c r="F32" s="4" t="inlineStr">
        <is>
          <t>0533 280 49 80</t>
        </is>
      </c>
      <c r="G32" s="2" t="inlineStr">
        <is>
          <t>selin.secen@gmail.com</t>
        </is>
      </c>
      <c r="H32" s="2" t="inlineStr">
        <is>
          <t>@selinsecen</t>
        </is>
      </c>
      <c r="I32" s="2" t="n">
        <v>45</v>
      </c>
      <c r="J32" s="2" t="inlineStr">
        <is>
          <t>Turist rehberi</t>
        </is>
      </c>
      <c r="K32" s="2" t="inlineStr"/>
      <c r="L32" s="2" t="inlineStr">
        <is>
          <t>Deneyim: Üniversite yıllarından eşli danslar, sonrasında lindy hop / Beklenti: Eğlenmek</t>
        </is>
      </c>
      <c r="M32" s="2" t="inlineStr">
        <is>
          <t>Instagram</t>
        </is>
      </c>
      <c r="N32" s="2" t="inlineStr">
        <is>
          <t>Hayır</t>
        </is>
      </c>
      <c r="O32" s="2" t="inlineStr">
        <is>
          <t>4-Tanışmaya gelecek</t>
        </is>
      </c>
      <c r="P32" s="2" t="n">
        <v>0</v>
      </c>
      <c r="Q32" s="3" t="n"/>
      <c r="R32" s="2" t="inlineStr">
        <is>
          <t>Tanışmadan 1 gün önce hatırlatma mesajı</t>
        </is>
      </c>
      <c r="S32" s="3" t="n">
        <v>46283</v>
      </c>
      <c r="T32" s="2" t="n"/>
      <c r="U32" s="2" t="inlineStr"/>
      <c r="V32" s="2" t="inlineStr">
        <is>
          <t>selin.secen@gmail.com|broadway musical dance</t>
        </is>
      </c>
    </row>
    <row r="33">
      <c r="A33" s="3" t="n">
        <v>46281</v>
      </c>
      <c r="B33" s="2" t="inlineStr">
        <is>
          <t>Form</t>
        </is>
      </c>
      <c r="C33" s="2" t="inlineStr">
        <is>
          <t>English Drama Lab</t>
        </is>
      </c>
      <c r="D33" s="2" t="inlineStr">
        <is>
          <t>Taksim Pera · 19 Eylül Cumartesi · 15:00</t>
        </is>
      </c>
      <c r="E33" s="2" t="inlineStr">
        <is>
          <t>Serdar Genel</t>
        </is>
      </c>
      <c r="F33" s="4" t="inlineStr">
        <is>
          <t>0531 222 32 33</t>
        </is>
      </c>
      <c r="G33" s="2" t="inlineStr">
        <is>
          <t>serdargenel@hotmail.com</t>
        </is>
      </c>
      <c r="H33" s="2" t="inlineStr">
        <is>
          <t>@serdargenel</t>
        </is>
      </c>
      <c r="I33" s="2" t="n">
        <v>27</v>
      </c>
      <c r="J33" s="2" t="inlineStr">
        <is>
          <t>Gazeteci</t>
        </is>
      </c>
      <c r="K33" s="2" t="inlineStr">
        <is>
          <t>C1 ve üzeri</t>
        </is>
      </c>
      <c r="L33" s="2" t="inlineStr">
        <is>
          <t>Deneyim: BKM Mutfak — kamera önü oyunculuk / Beklenti: Improve my English persona</t>
        </is>
      </c>
      <c r="M33" s="2" t="inlineStr">
        <is>
          <t>Instagram</t>
        </is>
      </c>
      <c r="N33" s="2" t="inlineStr">
        <is>
          <t>Hayır</t>
        </is>
      </c>
      <c r="O33" s="2" t="inlineStr">
        <is>
          <t>4-Tanışmaya gelecek</t>
        </is>
      </c>
      <c r="P33" s="2" t="n">
        <v>0</v>
      </c>
      <c r="Q33" s="3" t="n"/>
      <c r="R33" s="2" t="inlineStr">
        <is>
          <t>Tanışmadan 1 gün önce hatırlatma mesajı</t>
        </is>
      </c>
      <c r="S33" s="3" t="n">
        <v>46283</v>
      </c>
      <c r="T33" s="2" t="n"/>
      <c r="U33" s="2" t="inlineStr"/>
      <c r="V33" s="2" t="inlineStr">
        <is>
          <t>serdargenel@hotmail.com|english drama lab</t>
        </is>
      </c>
    </row>
    <row r="34">
      <c r="A34" s="3" t="n">
        <v>46282</v>
      </c>
      <c r="B34" s="2" t="inlineStr">
        <is>
          <t>Form</t>
        </is>
      </c>
      <c r="C34" s="2" t="inlineStr">
        <is>
          <t>Techne Musical Lab</t>
        </is>
      </c>
      <c r="D34" s="2" t="inlineStr">
        <is>
          <t>Taksim Pera · 19 Eylül Cumartesi · 19:00</t>
        </is>
      </c>
      <c r="E34" s="2" t="inlineStr">
        <is>
          <t>Berfin yeşilyaprak</t>
        </is>
      </c>
      <c r="F34" s="4" t="inlineStr">
        <is>
          <t>0554 864 10 53</t>
        </is>
      </c>
      <c r="G34" s="2" t="inlineStr">
        <is>
          <t>berfin.yesilyaprak@gmail.com</t>
        </is>
      </c>
      <c r="H34" s="2" t="inlineStr">
        <is>
          <t>@berfinyesilyaprak</t>
        </is>
      </c>
      <c r="I34" s="2" t="n">
        <v>29</v>
      </c>
      <c r="J34" s="2" t="inlineStr">
        <is>
          <t>Müzisyen</t>
        </is>
      </c>
      <c r="K34" s="2" t="inlineStr"/>
      <c r="L34" s="2" t="inlineStr">
        <is>
          <t>Deneyim: Perküsyon show sahne (düzenli); geçmişte modern &amp; çağdaş dans; oryantal / Beklenti: Güzel bir grupla birlikte çalışmak, kolektif hareket ve dans edebilmek</t>
        </is>
      </c>
      <c r="M34" s="2" t="inlineStr">
        <is>
          <t>Instagram</t>
        </is>
      </c>
      <c r="N34" s="2" t="inlineStr">
        <is>
          <t>Evet</t>
        </is>
      </c>
      <c r="O34" s="2" t="inlineStr">
        <is>
          <t>4-Tanışmaya gelecek</t>
        </is>
      </c>
      <c r="P34" s="2" t="n">
        <v>0</v>
      </c>
      <c r="Q34" s="3" t="n"/>
      <c r="R34" s="2" t="inlineStr">
        <is>
          <t>Tanışmadan 1 gün önce hatırlatma mesajı</t>
        </is>
      </c>
      <c r="S34" s="3" t="n">
        <v>46283</v>
      </c>
      <c r="T34" s="2" t="n"/>
      <c r="U34" s="2" t="inlineStr">
        <is>
          <t>Techne Musical Lab kaydı (Broadway ile ortak seans)</t>
        </is>
      </c>
      <c r="V34" s="2" t="inlineStr">
        <is>
          <t>berfin.yesilyaprak@gmail.com|techne musical lab</t>
        </is>
      </c>
    </row>
    <row r="35">
      <c r="A35" s="3" t="n">
        <v>46282</v>
      </c>
      <c r="B35" s="2" t="inlineStr">
        <is>
          <t>Form</t>
        </is>
      </c>
      <c r="C35" s="2" t="inlineStr">
        <is>
          <t>English Acting Praxis</t>
        </is>
      </c>
      <c r="D35" s="2" t="inlineStr">
        <is>
          <t>Taksim Pera · 19 Eylül Cumartesi · 17:00</t>
        </is>
      </c>
      <c r="E35" s="2" t="inlineStr">
        <is>
          <t>Pınar Zor</t>
        </is>
      </c>
      <c r="F35" s="4" t="inlineStr">
        <is>
          <t>0530 610 64 95</t>
        </is>
      </c>
      <c r="G35" s="2" t="inlineStr">
        <is>
          <t>avpinarsaz@gmail.com</t>
        </is>
      </c>
      <c r="H35" s="2" t="inlineStr"/>
      <c r="I35" s="2" t="n">
        <v>30</v>
      </c>
      <c r="J35" s="2" t="inlineStr">
        <is>
          <t>Avukat</t>
        </is>
      </c>
      <c r="K35" s="2" t="inlineStr">
        <is>
          <t>C1 ve üzeri</t>
        </is>
      </c>
      <c r="L35" s="2" t="inlineStr">
        <is>
          <t>Beklenti: Program İngilizce dil yeteneğini geliştirmeyi ve oyunculuk hayalini gerçeğe dökme isteğini buluşturuyor</t>
        </is>
      </c>
      <c r="M35" s="2" t="inlineStr">
        <is>
          <t>Instagram</t>
        </is>
      </c>
      <c r="N35" s="2" t="inlineStr">
        <is>
          <t>Evet</t>
        </is>
      </c>
      <c r="O35" s="2" t="inlineStr">
        <is>
          <t>4-Tanışmaya gelecek</t>
        </is>
      </c>
      <c r="P35" s="2" t="n">
        <v>0</v>
      </c>
      <c r="Q35" s="3" t="n"/>
      <c r="R35" s="2" t="inlineStr">
        <is>
          <t>Tanışmadan 1 gün önce hatırlatma mesajı</t>
        </is>
      </c>
      <c r="S35" s="3" t="n">
        <v>46283</v>
      </c>
      <c r="T35" s="2" t="n"/>
      <c r="U35" s="2" t="inlineStr"/>
      <c r="V35" s="2" t="inlineStr">
        <is>
          <t>avpinarsaz@gmail.com|english acting praxis</t>
        </is>
      </c>
    </row>
    <row r="36">
      <c r="A36" s="5" t="n"/>
      <c r="F36" s="6" t="n"/>
      <c r="Q36" s="5" t="n"/>
      <c r="S36" s="5" t="n"/>
    </row>
    <row r="37">
      <c r="A37" s="5" t="n"/>
      <c r="F37" s="6" t="n"/>
      <c r="Q37" s="5" t="n"/>
      <c r="S37" s="5" t="n"/>
    </row>
    <row r="38">
      <c r="A38" s="5" t="n"/>
      <c r="F38" s="6" t="n"/>
      <c r="Q38" s="5" t="n"/>
      <c r="S38" s="5" t="n"/>
    </row>
    <row r="39">
      <c r="A39" s="5" t="n"/>
      <c r="F39" s="6" t="n"/>
      <c r="Q39" s="5" t="n"/>
      <c r="S39" s="5" t="n"/>
    </row>
    <row r="40">
      <c r="A40" s="5" t="n"/>
      <c r="F40" s="6" t="n"/>
      <c r="Q40" s="5" t="n"/>
      <c r="S40" s="5" t="n"/>
    </row>
    <row r="41">
      <c r="A41" s="5" t="n"/>
      <c r="F41" s="6" t="n"/>
      <c r="Q41" s="5" t="n"/>
      <c r="S41" s="5" t="n"/>
    </row>
    <row r="42">
      <c r="A42" s="5" t="n"/>
      <c r="F42" s="6" t="n"/>
      <c r="Q42" s="5" t="n"/>
      <c r="S42" s="5" t="n"/>
    </row>
    <row r="43">
      <c r="A43" s="5" t="n"/>
      <c r="F43" s="6" t="n"/>
      <c r="Q43" s="5" t="n"/>
      <c r="S43" s="5" t="n"/>
    </row>
    <row r="44">
      <c r="A44" s="5" t="n"/>
      <c r="F44" s="6" t="n"/>
      <c r="Q44" s="5" t="n"/>
      <c r="S44" s="5" t="n"/>
    </row>
    <row r="45">
      <c r="A45" s="5" t="n"/>
      <c r="F45" s="6" t="n"/>
      <c r="Q45" s="5" t="n"/>
      <c r="S45" s="5" t="n"/>
    </row>
    <row r="46">
      <c r="A46" s="5" t="n"/>
      <c r="F46" s="6" t="n"/>
      <c r="Q46" s="5" t="n"/>
      <c r="S46" s="5" t="n"/>
    </row>
    <row r="47">
      <c r="A47" s="5" t="n"/>
      <c r="F47" s="6" t="n"/>
      <c r="Q47" s="5" t="n"/>
      <c r="S47" s="5" t="n"/>
    </row>
    <row r="48">
      <c r="A48" s="5" t="n"/>
      <c r="F48" s="6" t="n"/>
      <c r="Q48" s="5" t="n"/>
      <c r="S48" s="5" t="n"/>
    </row>
    <row r="49">
      <c r="A49" s="5" t="n"/>
      <c r="F49" s="6" t="n"/>
      <c r="Q49" s="5" t="n"/>
      <c r="S49" s="5" t="n"/>
    </row>
    <row r="50">
      <c r="A50" s="5" t="n"/>
      <c r="F50" s="6" t="n"/>
      <c r="Q50" s="5" t="n"/>
      <c r="S50" s="5" t="n"/>
    </row>
    <row r="51">
      <c r="A51" s="5" t="n"/>
      <c r="F51" s="6" t="n"/>
      <c r="Q51" s="5" t="n"/>
      <c r="S51" s="5" t="n"/>
    </row>
    <row r="52">
      <c r="A52" s="5" t="n"/>
      <c r="F52" s="6" t="n"/>
      <c r="Q52" s="5" t="n"/>
      <c r="S52" s="5" t="n"/>
    </row>
    <row r="53">
      <c r="A53" s="5" t="n"/>
      <c r="F53" s="6" t="n"/>
      <c r="Q53" s="5" t="n"/>
      <c r="S53" s="5" t="n"/>
    </row>
    <row r="54">
      <c r="A54" s="5" t="n"/>
      <c r="F54" s="6" t="n"/>
      <c r="Q54" s="5" t="n"/>
      <c r="S54" s="5" t="n"/>
    </row>
    <row r="55">
      <c r="A55" s="5" t="n"/>
      <c r="F55" s="6" t="n"/>
      <c r="Q55" s="5" t="n"/>
      <c r="S55" s="5" t="n"/>
    </row>
    <row r="56">
      <c r="A56" s="5" t="n"/>
      <c r="F56" s="6" t="n"/>
      <c r="Q56" s="5" t="n"/>
      <c r="S56" s="5" t="n"/>
    </row>
    <row r="57">
      <c r="A57" s="5" t="n"/>
      <c r="F57" s="6" t="n"/>
      <c r="Q57" s="5" t="n"/>
      <c r="S57" s="5" t="n"/>
    </row>
    <row r="58">
      <c r="A58" s="5" t="n"/>
      <c r="F58" s="6" t="n"/>
      <c r="Q58" s="5" t="n"/>
      <c r="S58" s="5" t="n"/>
    </row>
    <row r="59">
      <c r="A59" s="5" t="n"/>
      <c r="F59" s="6" t="n"/>
      <c r="Q59" s="5" t="n"/>
      <c r="S59" s="5" t="n"/>
    </row>
    <row r="60">
      <c r="A60" s="5" t="n"/>
      <c r="F60" s="6" t="n"/>
      <c r="Q60" s="5" t="n"/>
      <c r="S60" s="5" t="n"/>
    </row>
    <row r="61">
      <c r="A61" s="5" t="n"/>
      <c r="F61" s="6" t="n"/>
      <c r="Q61" s="5" t="n"/>
      <c r="S61" s="5" t="n"/>
    </row>
    <row r="62">
      <c r="A62" s="5" t="n"/>
      <c r="F62" s="6" t="n"/>
      <c r="Q62" s="5" t="n"/>
      <c r="S62" s="5" t="n"/>
    </row>
    <row r="63">
      <c r="A63" s="5" t="n"/>
      <c r="F63" s="6" t="n"/>
      <c r="Q63" s="5" t="n"/>
      <c r="S63" s="5" t="n"/>
    </row>
    <row r="64">
      <c r="A64" s="5" t="n"/>
      <c r="F64" s="6" t="n"/>
      <c r="Q64" s="5" t="n"/>
      <c r="S64" s="5" t="n"/>
    </row>
    <row r="65">
      <c r="A65" s="5" t="n"/>
      <c r="F65" s="6" t="n"/>
      <c r="Q65" s="5" t="n"/>
      <c r="S65" s="5" t="n"/>
    </row>
    <row r="66">
      <c r="A66" s="5" t="n"/>
      <c r="F66" s="6" t="n"/>
      <c r="Q66" s="5" t="n"/>
      <c r="S66" s="5" t="n"/>
    </row>
    <row r="67">
      <c r="A67" s="5" t="n"/>
      <c r="F67" s="6" t="n"/>
      <c r="Q67" s="5" t="n"/>
      <c r="S67" s="5" t="n"/>
    </row>
    <row r="68">
      <c r="A68" s="5" t="n"/>
      <c r="F68" s="6" t="n"/>
      <c r="Q68" s="5" t="n"/>
      <c r="S68" s="5" t="n"/>
    </row>
    <row r="69">
      <c r="A69" s="5" t="n"/>
      <c r="F69" s="6" t="n"/>
      <c r="Q69" s="5" t="n"/>
      <c r="S69" s="5" t="n"/>
    </row>
    <row r="70">
      <c r="A70" s="5" t="n"/>
      <c r="F70" s="6" t="n"/>
      <c r="Q70" s="5" t="n"/>
      <c r="S70" s="5" t="n"/>
    </row>
    <row r="71">
      <c r="A71" s="5" t="n"/>
      <c r="F71" s="6" t="n"/>
      <c r="Q71" s="5" t="n"/>
      <c r="S71" s="5" t="n"/>
    </row>
    <row r="72">
      <c r="A72" s="5" t="n"/>
      <c r="F72" s="6" t="n"/>
      <c r="Q72" s="5" t="n"/>
      <c r="S72" s="5" t="n"/>
    </row>
    <row r="73">
      <c r="A73" s="5" t="n"/>
      <c r="F73" s="6" t="n"/>
      <c r="Q73" s="5" t="n"/>
      <c r="S73" s="5" t="n"/>
    </row>
    <row r="74">
      <c r="A74" s="5" t="n"/>
      <c r="F74" s="6" t="n"/>
      <c r="Q74" s="5" t="n"/>
      <c r="S74" s="5" t="n"/>
    </row>
    <row r="75">
      <c r="A75" s="5" t="n"/>
      <c r="F75" s="6" t="n"/>
      <c r="Q75" s="5" t="n"/>
      <c r="S75" s="5" t="n"/>
    </row>
    <row r="76">
      <c r="A76" s="5" t="n"/>
      <c r="F76" s="6" t="n"/>
      <c r="Q76" s="5" t="n"/>
      <c r="S76" s="5" t="n"/>
    </row>
    <row r="77">
      <c r="A77" s="5" t="n"/>
      <c r="F77" s="6" t="n"/>
      <c r="Q77" s="5" t="n"/>
      <c r="S77" s="5" t="n"/>
    </row>
    <row r="78">
      <c r="A78" s="5" t="n"/>
      <c r="F78" s="6" t="n"/>
      <c r="Q78" s="5" t="n"/>
      <c r="S78" s="5" t="n"/>
    </row>
    <row r="79">
      <c r="A79" s="5" t="n"/>
      <c r="F79" s="6" t="n"/>
      <c r="Q79" s="5" t="n"/>
      <c r="S79" s="5" t="n"/>
    </row>
    <row r="80">
      <c r="A80" s="5" t="n"/>
      <c r="F80" s="6" t="n"/>
      <c r="Q80" s="5" t="n"/>
      <c r="S80" s="5" t="n"/>
    </row>
    <row r="81">
      <c r="A81" s="5" t="n"/>
      <c r="F81" s="6" t="n"/>
      <c r="Q81" s="5" t="n"/>
      <c r="S81" s="5" t="n"/>
    </row>
    <row r="82">
      <c r="A82" s="5" t="n"/>
      <c r="F82" s="6" t="n"/>
      <c r="Q82" s="5" t="n"/>
      <c r="S82" s="5" t="n"/>
    </row>
    <row r="83">
      <c r="A83" s="5" t="n"/>
      <c r="F83" s="6" t="n"/>
      <c r="Q83" s="5" t="n"/>
      <c r="S83" s="5" t="n"/>
    </row>
    <row r="84">
      <c r="A84" s="5" t="n"/>
      <c r="F84" s="6" t="n"/>
      <c r="Q84" s="5" t="n"/>
      <c r="S84" s="5" t="n"/>
    </row>
    <row r="85">
      <c r="A85" s="5" t="n"/>
      <c r="F85" s="6" t="n"/>
      <c r="Q85" s="5" t="n"/>
      <c r="S85" s="5" t="n"/>
    </row>
    <row r="86">
      <c r="A86" s="5" t="n"/>
      <c r="F86" s="6" t="n"/>
      <c r="Q86" s="5" t="n"/>
      <c r="S86" s="5" t="n"/>
    </row>
    <row r="87">
      <c r="A87" s="5" t="n"/>
      <c r="F87" s="6" t="n"/>
      <c r="Q87" s="5" t="n"/>
      <c r="S87" s="5" t="n"/>
    </row>
    <row r="88">
      <c r="A88" s="5" t="n"/>
      <c r="F88" s="6" t="n"/>
      <c r="Q88" s="5" t="n"/>
      <c r="S88" s="5" t="n"/>
    </row>
    <row r="89">
      <c r="A89" s="5" t="n"/>
      <c r="F89" s="6" t="n"/>
      <c r="Q89" s="5" t="n"/>
      <c r="S89" s="5" t="n"/>
    </row>
    <row r="90">
      <c r="A90" s="5" t="n"/>
      <c r="F90" s="6" t="n"/>
      <c r="Q90" s="5" t="n"/>
      <c r="S90" s="5" t="n"/>
    </row>
    <row r="91">
      <c r="A91" s="5" t="n"/>
      <c r="F91" s="6" t="n"/>
      <c r="Q91" s="5" t="n"/>
      <c r="S91" s="5" t="n"/>
    </row>
    <row r="92">
      <c r="A92" s="5" t="n"/>
      <c r="F92" s="6" t="n"/>
      <c r="Q92" s="5" t="n"/>
      <c r="S92" s="5" t="n"/>
    </row>
    <row r="93">
      <c r="A93" s="5" t="n"/>
      <c r="F93" s="6" t="n"/>
      <c r="Q93" s="5" t="n"/>
      <c r="S93" s="5" t="n"/>
    </row>
    <row r="94">
      <c r="A94" s="5" t="n"/>
      <c r="F94" s="6" t="n"/>
      <c r="Q94" s="5" t="n"/>
      <c r="S94" s="5" t="n"/>
    </row>
    <row r="95">
      <c r="A95" s="5" t="n"/>
      <c r="F95" s="6" t="n"/>
      <c r="Q95" s="5" t="n"/>
      <c r="S95" s="5" t="n"/>
    </row>
    <row r="96">
      <c r="A96" s="5" t="n"/>
      <c r="F96" s="6" t="n"/>
      <c r="Q96" s="5" t="n"/>
      <c r="S96" s="5" t="n"/>
    </row>
    <row r="97">
      <c r="A97" s="5" t="n"/>
      <c r="F97" s="6" t="n"/>
      <c r="Q97" s="5" t="n"/>
      <c r="S97" s="5" t="n"/>
    </row>
    <row r="98">
      <c r="A98" s="5" t="n"/>
      <c r="F98" s="6" t="n"/>
      <c r="Q98" s="5" t="n"/>
      <c r="S98" s="5" t="n"/>
    </row>
    <row r="99">
      <c r="A99" s="5" t="n"/>
      <c r="F99" s="6" t="n"/>
      <c r="Q99" s="5" t="n"/>
      <c r="S99" s="5" t="n"/>
    </row>
    <row r="100">
      <c r="A100" s="5" t="n"/>
      <c r="F100" s="6" t="n"/>
      <c r="Q100" s="5" t="n"/>
      <c r="S100" s="5" t="n"/>
    </row>
    <row r="101">
      <c r="A101" s="5" t="n"/>
      <c r="F101" s="6" t="n"/>
      <c r="Q101" s="5" t="n"/>
      <c r="S101" s="5" t="n"/>
    </row>
    <row r="102">
      <c r="A102" s="5" t="n"/>
      <c r="F102" s="6" t="n"/>
      <c r="Q102" s="5" t="n"/>
      <c r="S102" s="5" t="n"/>
    </row>
    <row r="103">
      <c r="A103" s="5" t="n"/>
      <c r="F103" s="6" t="n"/>
      <c r="Q103" s="5" t="n"/>
      <c r="S103" s="5" t="n"/>
    </row>
    <row r="104">
      <c r="A104" s="5" t="n"/>
      <c r="F104" s="6" t="n"/>
      <c r="Q104" s="5" t="n"/>
      <c r="S104" s="5" t="n"/>
    </row>
    <row r="105">
      <c r="A105" s="5" t="n"/>
      <c r="F105" s="6" t="n"/>
      <c r="Q105" s="5" t="n"/>
      <c r="S105" s="5" t="n"/>
    </row>
    <row r="106">
      <c r="A106" s="5" t="n"/>
      <c r="F106" s="6" t="n"/>
      <c r="Q106" s="5" t="n"/>
      <c r="S106" s="5" t="n"/>
    </row>
    <row r="107">
      <c r="A107" s="5" t="n"/>
      <c r="F107" s="6" t="n"/>
      <c r="Q107" s="5" t="n"/>
      <c r="S107" s="5" t="n"/>
    </row>
    <row r="108">
      <c r="A108" s="5" t="n"/>
      <c r="F108" s="6" t="n"/>
      <c r="Q108" s="5" t="n"/>
      <c r="S108" s="5" t="n"/>
    </row>
    <row r="109">
      <c r="A109" s="5" t="n"/>
      <c r="F109" s="6" t="n"/>
      <c r="Q109" s="5" t="n"/>
      <c r="S109" s="5" t="n"/>
    </row>
    <row r="110">
      <c r="A110" s="5" t="n"/>
      <c r="F110" s="6" t="n"/>
      <c r="Q110" s="5" t="n"/>
      <c r="S110" s="5" t="n"/>
    </row>
    <row r="111">
      <c r="A111" s="5" t="n"/>
      <c r="F111" s="6" t="n"/>
      <c r="Q111" s="5" t="n"/>
      <c r="S111" s="5" t="n"/>
    </row>
    <row r="112">
      <c r="A112" s="5" t="n"/>
      <c r="F112" s="6" t="n"/>
      <c r="Q112" s="5" t="n"/>
      <c r="S112" s="5" t="n"/>
    </row>
    <row r="113">
      <c r="A113" s="5" t="n"/>
      <c r="F113" s="6" t="n"/>
      <c r="Q113" s="5" t="n"/>
      <c r="S113" s="5" t="n"/>
    </row>
    <row r="114">
      <c r="A114" s="5" t="n"/>
      <c r="F114" s="6" t="n"/>
      <c r="Q114" s="5" t="n"/>
      <c r="S114" s="5" t="n"/>
    </row>
    <row r="115">
      <c r="A115" s="5" t="n"/>
      <c r="F115" s="6" t="n"/>
      <c r="Q115" s="5" t="n"/>
      <c r="S115" s="5" t="n"/>
    </row>
    <row r="116">
      <c r="A116" s="5" t="n"/>
      <c r="F116" s="6" t="n"/>
      <c r="Q116" s="5" t="n"/>
      <c r="S116" s="5" t="n"/>
    </row>
    <row r="117">
      <c r="A117" s="5" t="n"/>
      <c r="F117" s="6" t="n"/>
      <c r="Q117" s="5" t="n"/>
      <c r="S117" s="5" t="n"/>
    </row>
    <row r="118">
      <c r="A118" s="5" t="n"/>
      <c r="F118" s="6" t="n"/>
      <c r="Q118" s="5" t="n"/>
      <c r="S118" s="5" t="n"/>
    </row>
    <row r="119">
      <c r="A119" s="5" t="n"/>
      <c r="F119" s="6" t="n"/>
      <c r="Q119" s="5" t="n"/>
      <c r="S119" s="5" t="n"/>
    </row>
    <row r="120">
      <c r="A120" s="5" t="n"/>
      <c r="F120" s="6" t="n"/>
      <c r="Q120" s="5" t="n"/>
      <c r="S120" s="5" t="n"/>
    </row>
    <row r="121">
      <c r="A121" s="5" t="n"/>
      <c r="F121" s="6" t="n"/>
      <c r="Q121" s="5" t="n"/>
      <c r="S121" s="5" t="n"/>
    </row>
    <row r="122">
      <c r="A122" s="5" t="n"/>
      <c r="F122" s="6" t="n"/>
      <c r="Q122" s="5" t="n"/>
      <c r="S122" s="5" t="n"/>
    </row>
    <row r="123">
      <c r="A123" s="5" t="n"/>
      <c r="F123" s="6" t="n"/>
      <c r="Q123" s="5" t="n"/>
      <c r="S123" s="5" t="n"/>
    </row>
    <row r="124">
      <c r="A124" s="5" t="n"/>
      <c r="F124" s="6" t="n"/>
      <c r="Q124" s="5" t="n"/>
      <c r="S124" s="5" t="n"/>
    </row>
    <row r="125">
      <c r="A125" s="5" t="n"/>
      <c r="F125" s="6" t="n"/>
      <c r="Q125" s="5" t="n"/>
      <c r="S125" s="5" t="n"/>
    </row>
    <row r="126">
      <c r="A126" s="5" t="n"/>
      <c r="F126" s="6" t="n"/>
      <c r="Q126" s="5" t="n"/>
      <c r="S126" s="5" t="n"/>
    </row>
    <row r="127">
      <c r="A127" s="5" t="n"/>
      <c r="F127" s="6" t="n"/>
      <c r="Q127" s="5" t="n"/>
      <c r="S127" s="5" t="n"/>
    </row>
    <row r="128">
      <c r="A128" s="5" t="n"/>
      <c r="F128" s="6" t="n"/>
      <c r="Q128" s="5" t="n"/>
      <c r="S128" s="5" t="n"/>
    </row>
    <row r="129">
      <c r="A129" s="5" t="n"/>
      <c r="F129" s="6" t="n"/>
      <c r="Q129" s="5" t="n"/>
      <c r="S129" s="5" t="n"/>
    </row>
    <row r="130">
      <c r="A130" s="5" t="n"/>
      <c r="F130" s="6" t="n"/>
      <c r="Q130" s="5" t="n"/>
      <c r="S130" s="5" t="n"/>
    </row>
    <row r="131">
      <c r="A131" s="5" t="n"/>
      <c r="F131" s="6" t="n"/>
      <c r="Q131" s="5" t="n"/>
      <c r="S131" s="5" t="n"/>
    </row>
    <row r="132">
      <c r="A132" s="5" t="n"/>
      <c r="F132" s="6" t="n"/>
      <c r="Q132" s="5" t="n"/>
      <c r="S132" s="5" t="n"/>
    </row>
    <row r="133">
      <c r="A133" s="5" t="n"/>
      <c r="F133" s="6" t="n"/>
      <c r="Q133" s="5" t="n"/>
      <c r="S133" s="5" t="n"/>
    </row>
    <row r="134">
      <c r="A134" s="5" t="n"/>
      <c r="F134" s="6" t="n"/>
      <c r="Q134" s="5" t="n"/>
      <c r="S134" s="5" t="n"/>
    </row>
    <row r="135">
      <c r="A135" s="5" t="n"/>
      <c r="F135" s="6" t="n"/>
      <c r="Q135" s="5" t="n"/>
      <c r="S135" s="5" t="n"/>
    </row>
    <row r="136">
      <c r="A136" s="5" t="n"/>
      <c r="F136" s="6" t="n"/>
      <c r="Q136" s="5" t="n"/>
      <c r="S136" s="5" t="n"/>
    </row>
    <row r="137">
      <c r="A137" s="5" t="n"/>
      <c r="F137" s="6" t="n"/>
      <c r="Q137" s="5" t="n"/>
      <c r="S137" s="5" t="n"/>
    </row>
    <row r="138">
      <c r="A138" s="5" t="n"/>
      <c r="F138" s="6" t="n"/>
      <c r="Q138" s="5" t="n"/>
      <c r="S138" s="5" t="n"/>
    </row>
    <row r="139">
      <c r="A139" s="5" t="n"/>
      <c r="F139" s="6" t="n"/>
      <c r="Q139" s="5" t="n"/>
      <c r="S139" s="5" t="n"/>
    </row>
    <row r="140">
      <c r="A140" s="5" t="n"/>
      <c r="F140" s="6" t="n"/>
      <c r="Q140" s="5" t="n"/>
      <c r="S140" s="5" t="n"/>
    </row>
    <row r="141">
      <c r="A141" s="5" t="n"/>
      <c r="F141" s="6" t="n"/>
      <c r="Q141" s="5" t="n"/>
      <c r="S141" s="5" t="n"/>
    </row>
    <row r="142">
      <c r="A142" s="5" t="n"/>
      <c r="F142" s="6" t="n"/>
      <c r="Q142" s="5" t="n"/>
      <c r="S142" s="5" t="n"/>
    </row>
    <row r="143">
      <c r="A143" s="5" t="n"/>
      <c r="F143" s="6" t="n"/>
      <c r="Q143" s="5" t="n"/>
      <c r="S143" s="5" t="n"/>
    </row>
    <row r="144">
      <c r="A144" s="5" t="n"/>
      <c r="F144" s="6" t="n"/>
      <c r="Q144" s="5" t="n"/>
      <c r="S144" s="5" t="n"/>
    </row>
    <row r="145">
      <c r="A145" s="5" t="n"/>
      <c r="F145" s="6" t="n"/>
      <c r="Q145" s="5" t="n"/>
      <c r="S145" s="5" t="n"/>
    </row>
    <row r="146">
      <c r="A146" s="5" t="n"/>
      <c r="F146" s="6" t="n"/>
      <c r="Q146" s="5" t="n"/>
      <c r="S146" s="5" t="n"/>
    </row>
    <row r="147">
      <c r="A147" s="5" t="n"/>
      <c r="F147" s="6" t="n"/>
      <c r="Q147" s="5" t="n"/>
      <c r="S147" s="5" t="n"/>
    </row>
    <row r="148">
      <c r="A148" s="5" t="n"/>
      <c r="F148" s="6" t="n"/>
      <c r="Q148" s="5" t="n"/>
      <c r="S148" s="5" t="n"/>
    </row>
    <row r="149">
      <c r="A149" s="5" t="n"/>
      <c r="F149" s="6" t="n"/>
      <c r="Q149" s="5" t="n"/>
      <c r="S149" s="5" t="n"/>
    </row>
    <row r="150">
      <c r="A150" s="5" t="n"/>
      <c r="F150" s="6" t="n"/>
      <c r="Q150" s="5" t="n"/>
      <c r="S150" s="5" t="n"/>
    </row>
    <row r="151">
      <c r="A151" s="5" t="n"/>
      <c r="F151" s="6" t="n"/>
      <c r="Q151" s="5" t="n"/>
      <c r="S151" s="5" t="n"/>
    </row>
    <row r="152">
      <c r="A152" s="5" t="n"/>
      <c r="F152" s="6" t="n"/>
      <c r="Q152" s="5" t="n"/>
      <c r="S152" s="5" t="n"/>
    </row>
    <row r="153">
      <c r="A153" s="5" t="n"/>
      <c r="F153" s="6" t="n"/>
      <c r="Q153" s="5" t="n"/>
      <c r="S153" s="5" t="n"/>
    </row>
    <row r="154">
      <c r="A154" s="5" t="n"/>
      <c r="F154" s="6" t="n"/>
      <c r="Q154" s="5" t="n"/>
      <c r="S154" s="5" t="n"/>
    </row>
    <row r="155">
      <c r="A155" s="5" t="n"/>
      <c r="F155" s="6" t="n"/>
      <c r="Q155" s="5" t="n"/>
      <c r="S155" s="5" t="n"/>
    </row>
    <row r="156">
      <c r="A156" s="5" t="n"/>
      <c r="F156" s="6" t="n"/>
      <c r="Q156" s="5" t="n"/>
      <c r="S156" s="5" t="n"/>
    </row>
    <row r="157">
      <c r="A157" s="5" t="n"/>
      <c r="F157" s="6" t="n"/>
      <c r="Q157" s="5" t="n"/>
      <c r="S157" s="5" t="n"/>
    </row>
    <row r="158">
      <c r="A158" s="5" t="n"/>
      <c r="F158" s="6" t="n"/>
      <c r="Q158" s="5" t="n"/>
      <c r="S158" s="5" t="n"/>
    </row>
    <row r="159">
      <c r="A159" s="5" t="n"/>
      <c r="F159" s="6" t="n"/>
      <c r="Q159" s="5" t="n"/>
      <c r="S159" s="5" t="n"/>
    </row>
    <row r="160">
      <c r="A160" s="5" t="n"/>
      <c r="F160" s="6" t="n"/>
      <c r="Q160" s="5" t="n"/>
      <c r="S160" s="5" t="n"/>
    </row>
    <row r="161">
      <c r="A161" s="5" t="n"/>
      <c r="F161" s="6" t="n"/>
      <c r="Q161" s="5" t="n"/>
      <c r="S161" s="5" t="n"/>
    </row>
    <row r="162">
      <c r="A162" s="5" t="n"/>
      <c r="F162" s="6" t="n"/>
      <c r="Q162" s="5" t="n"/>
      <c r="S162" s="5" t="n"/>
    </row>
    <row r="163">
      <c r="A163" s="5" t="n"/>
      <c r="F163" s="6" t="n"/>
      <c r="Q163" s="5" t="n"/>
      <c r="S163" s="5" t="n"/>
    </row>
    <row r="164">
      <c r="A164" s="5" t="n"/>
      <c r="F164" s="6" t="n"/>
      <c r="Q164" s="5" t="n"/>
      <c r="S164" s="5" t="n"/>
    </row>
    <row r="165">
      <c r="A165" s="5" t="n"/>
      <c r="F165" s="6" t="n"/>
      <c r="Q165" s="5" t="n"/>
      <c r="S165" s="5" t="n"/>
    </row>
    <row r="166">
      <c r="A166" s="5" t="n"/>
      <c r="F166" s="6" t="n"/>
      <c r="Q166" s="5" t="n"/>
      <c r="S166" s="5" t="n"/>
    </row>
    <row r="167">
      <c r="A167" s="5" t="n"/>
      <c r="F167" s="6" t="n"/>
      <c r="Q167" s="5" t="n"/>
      <c r="S167" s="5" t="n"/>
    </row>
    <row r="168">
      <c r="A168" s="5" t="n"/>
      <c r="F168" s="6" t="n"/>
      <c r="Q168" s="5" t="n"/>
      <c r="S168" s="5" t="n"/>
    </row>
    <row r="169">
      <c r="A169" s="5" t="n"/>
      <c r="F169" s="6" t="n"/>
      <c r="Q169" s="5" t="n"/>
      <c r="S169" s="5" t="n"/>
    </row>
    <row r="170">
      <c r="A170" s="5" t="n"/>
      <c r="F170" s="6" t="n"/>
      <c r="Q170" s="5" t="n"/>
      <c r="S170" s="5" t="n"/>
    </row>
    <row r="171">
      <c r="A171" s="5" t="n"/>
      <c r="F171" s="6" t="n"/>
      <c r="Q171" s="5" t="n"/>
      <c r="S171" s="5" t="n"/>
    </row>
    <row r="172">
      <c r="A172" s="5" t="n"/>
      <c r="F172" s="6" t="n"/>
      <c r="Q172" s="5" t="n"/>
      <c r="S172" s="5" t="n"/>
    </row>
    <row r="173">
      <c r="A173" s="5" t="n"/>
      <c r="F173" s="6" t="n"/>
      <c r="Q173" s="5" t="n"/>
      <c r="S173" s="5" t="n"/>
    </row>
    <row r="174">
      <c r="A174" s="5" t="n"/>
      <c r="F174" s="6" t="n"/>
      <c r="Q174" s="5" t="n"/>
      <c r="S174" s="5" t="n"/>
    </row>
    <row r="175">
      <c r="A175" s="5" t="n"/>
      <c r="F175" s="6" t="n"/>
      <c r="Q175" s="5" t="n"/>
      <c r="S175" s="5" t="n"/>
    </row>
    <row r="176">
      <c r="A176" s="5" t="n"/>
      <c r="F176" s="6" t="n"/>
      <c r="Q176" s="5" t="n"/>
      <c r="S176" s="5" t="n"/>
    </row>
    <row r="177">
      <c r="A177" s="5" t="n"/>
      <c r="F177" s="6" t="n"/>
      <c r="Q177" s="5" t="n"/>
      <c r="S177" s="5" t="n"/>
    </row>
    <row r="178">
      <c r="A178" s="5" t="n"/>
      <c r="F178" s="6" t="n"/>
      <c r="Q178" s="5" t="n"/>
      <c r="S178" s="5" t="n"/>
    </row>
    <row r="179">
      <c r="A179" s="5" t="n"/>
      <c r="F179" s="6" t="n"/>
      <c r="Q179" s="5" t="n"/>
      <c r="S179" s="5" t="n"/>
    </row>
    <row r="180">
      <c r="A180" s="5" t="n"/>
      <c r="F180" s="6" t="n"/>
      <c r="Q180" s="5" t="n"/>
      <c r="S180" s="5" t="n"/>
    </row>
    <row r="181">
      <c r="A181" s="5" t="n"/>
      <c r="F181" s="6" t="n"/>
      <c r="Q181" s="5" t="n"/>
      <c r="S181" s="5" t="n"/>
    </row>
    <row r="182">
      <c r="A182" s="5" t="n"/>
      <c r="F182" s="6" t="n"/>
      <c r="Q182" s="5" t="n"/>
      <c r="S182" s="5" t="n"/>
    </row>
    <row r="183">
      <c r="A183" s="5" t="n"/>
      <c r="F183" s="6" t="n"/>
      <c r="Q183" s="5" t="n"/>
      <c r="S183" s="5" t="n"/>
    </row>
    <row r="184">
      <c r="A184" s="5" t="n"/>
      <c r="F184" s="6" t="n"/>
      <c r="Q184" s="5" t="n"/>
      <c r="S184" s="5" t="n"/>
    </row>
    <row r="185">
      <c r="A185" s="5" t="n"/>
      <c r="F185" s="6" t="n"/>
      <c r="Q185" s="5" t="n"/>
      <c r="S185" s="5" t="n"/>
    </row>
    <row r="186">
      <c r="A186" s="5" t="n"/>
      <c r="F186" s="6" t="n"/>
      <c r="Q186" s="5" t="n"/>
      <c r="S186" s="5" t="n"/>
    </row>
    <row r="187">
      <c r="A187" s="5" t="n"/>
      <c r="F187" s="6" t="n"/>
      <c r="Q187" s="5" t="n"/>
      <c r="S187" s="5" t="n"/>
    </row>
    <row r="188">
      <c r="A188" s="5" t="n"/>
      <c r="F188" s="6" t="n"/>
      <c r="Q188" s="5" t="n"/>
      <c r="S188" s="5" t="n"/>
    </row>
    <row r="189">
      <c r="A189" s="5" t="n"/>
      <c r="F189" s="6" t="n"/>
      <c r="Q189" s="5" t="n"/>
      <c r="S189" s="5" t="n"/>
    </row>
    <row r="190">
      <c r="A190" s="5" t="n"/>
      <c r="F190" s="6" t="n"/>
      <c r="Q190" s="5" t="n"/>
      <c r="S190" s="5" t="n"/>
    </row>
    <row r="191">
      <c r="A191" s="5" t="n"/>
      <c r="F191" s="6" t="n"/>
      <c r="Q191" s="5" t="n"/>
      <c r="S191" s="5" t="n"/>
    </row>
    <row r="192">
      <c r="A192" s="5" t="n"/>
      <c r="F192" s="6" t="n"/>
      <c r="Q192" s="5" t="n"/>
      <c r="S192" s="5" t="n"/>
    </row>
    <row r="193">
      <c r="A193" s="5" t="n"/>
      <c r="F193" s="6" t="n"/>
      <c r="Q193" s="5" t="n"/>
      <c r="S193" s="5" t="n"/>
    </row>
    <row r="194">
      <c r="A194" s="5" t="n"/>
      <c r="F194" s="6" t="n"/>
      <c r="Q194" s="5" t="n"/>
      <c r="S194" s="5" t="n"/>
    </row>
    <row r="195">
      <c r="A195" s="5" t="n"/>
      <c r="F195" s="6" t="n"/>
      <c r="Q195" s="5" t="n"/>
      <c r="S195" s="5" t="n"/>
    </row>
    <row r="196">
      <c r="A196" s="5" t="n"/>
      <c r="F196" s="6" t="n"/>
      <c r="Q196" s="5" t="n"/>
      <c r="S196" s="5" t="n"/>
    </row>
    <row r="197">
      <c r="A197" s="5" t="n"/>
      <c r="F197" s="6" t="n"/>
      <c r="Q197" s="5" t="n"/>
      <c r="S197" s="5" t="n"/>
    </row>
    <row r="198">
      <c r="A198" s="5" t="n"/>
      <c r="F198" s="6" t="n"/>
      <c r="Q198" s="5" t="n"/>
      <c r="S198" s="5" t="n"/>
    </row>
    <row r="199">
      <c r="A199" s="5" t="n"/>
      <c r="F199" s="6" t="n"/>
      <c r="Q199" s="5" t="n"/>
      <c r="S199" s="5" t="n"/>
    </row>
    <row r="200">
      <c r="A200" s="5" t="n"/>
      <c r="F200" s="6" t="n"/>
      <c r="Q200" s="5" t="n"/>
      <c r="S200" s="5" t="n"/>
    </row>
    <row r="201">
      <c r="A201" s="5" t="n"/>
      <c r="F201" s="6" t="n"/>
      <c r="Q201" s="5" t="n"/>
      <c r="S201" s="5" t="n"/>
    </row>
    <row r="202">
      <c r="A202" s="5" t="n"/>
      <c r="F202" s="6" t="n"/>
      <c r="Q202" s="5" t="n"/>
      <c r="S202" s="5" t="n"/>
    </row>
    <row r="203">
      <c r="A203" s="5" t="n"/>
      <c r="F203" s="6" t="n"/>
      <c r="Q203" s="5" t="n"/>
      <c r="S203" s="5" t="n"/>
    </row>
    <row r="204">
      <c r="A204" s="5" t="n"/>
      <c r="F204" s="6" t="n"/>
      <c r="Q204" s="5" t="n"/>
      <c r="S204" s="5" t="n"/>
    </row>
    <row r="205">
      <c r="A205" s="5" t="n"/>
      <c r="F205" s="6" t="n"/>
      <c r="Q205" s="5" t="n"/>
      <c r="S205" s="5" t="n"/>
    </row>
    <row r="206">
      <c r="A206" s="5" t="n"/>
      <c r="F206" s="6" t="n"/>
      <c r="Q206" s="5" t="n"/>
      <c r="S206" s="5" t="n"/>
    </row>
    <row r="207">
      <c r="A207" s="5" t="n"/>
      <c r="F207" s="6" t="n"/>
      <c r="Q207" s="5" t="n"/>
      <c r="S207" s="5" t="n"/>
    </row>
    <row r="208">
      <c r="A208" s="5" t="n"/>
      <c r="F208" s="6" t="n"/>
      <c r="Q208" s="5" t="n"/>
      <c r="S208" s="5" t="n"/>
    </row>
    <row r="209">
      <c r="A209" s="5" t="n"/>
      <c r="F209" s="6" t="n"/>
      <c r="Q209" s="5" t="n"/>
      <c r="S209" s="5" t="n"/>
    </row>
    <row r="210">
      <c r="A210" s="5" t="n"/>
      <c r="F210" s="6" t="n"/>
      <c r="Q210" s="5" t="n"/>
      <c r="S210" s="5" t="n"/>
    </row>
    <row r="211">
      <c r="A211" s="5" t="n"/>
      <c r="F211" s="6" t="n"/>
      <c r="Q211" s="5" t="n"/>
      <c r="S211" s="5" t="n"/>
    </row>
    <row r="212">
      <c r="A212" s="5" t="n"/>
      <c r="F212" s="6" t="n"/>
      <c r="Q212" s="5" t="n"/>
      <c r="S212" s="5" t="n"/>
    </row>
    <row r="213">
      <c r="A213" s="5" t="n"/>
      <c r="F213" s="6" t="n"/>
      <c r="Q213" s="5" t="n"/>
      <c r="S213" s="5" t="n"/>
    </row>
    <row r="214">
      <c r="A214" s="5" t="n"/>
      <c r="F214" s="6" t="n"/>
      <c r="Q214" s="5" t="n"/>
      <c r="S214" s="5" t="n"/>
    </row>
    <row r="215">
      <c r="A215" s="5" t="n"/>
      <c r="F215" s="6" t="n"/>
      <c r="Q215" s="5" t="n"/>
      <c r="S215" s="5" t="n"/>
    </row>
    <row r="216">
      <c r="A216" s="5" t="n"/>
      <c r="F216" s="6" t="n"/>
      <c r="Q216" s="5" t="n"/>
      <c r="S216" s="5" t="n"/>
    </row>
    <row r="217">
      <c r="A217" s="5" t="n"/>
      <c r="F217" s="6" t="n"/>
      <c r="Q217" s="5" t="n"/>
      <c r="S217" s="5" t="n"/>
    </row>
    <row r="218">
      <c r="A218" s="5" t="n"/>
      <c r="F218" s="6" t="n"/>
      <c r="Q218" s="5" t="n"/>
      <c r="S218" s="5" t="n"/>
    </row>
    <row r="219">
      <c r="A219" s="5" t="n"/>
      <c r="F219" s="6" t="n"/>
      <c r="Q219" s="5" t="n"/>
      <c r="S219" s="5" t="n"/>
    </row>
    <row r="220">
      <c r="A220" s="5" t="n"/>
      <c r="F220" s="6" t="n"/>
      <c r="Q220" s="5" t="n"/>
      <c r="S220" s="5" t="n"/>
    </row>
    <row r="221">
      <c r="A221" s="5" t="n"/>
      <c r="F221" s="6" t="n"/>
      <c r="Q221" s="5" t="n"/>
      <c r="S221" s="5" t="n"/>
    </row>
    <row r="222">
      <c r="A222" s="5" t="n"/>
      <c r="F222" s="6" t="n"/>
      <c r="Q222" s="5" t="n"/>
      <c r="S222" s="5" t="n"/>
    </row>
    <row r="223">
      <c r="A223" s="5" t="n"/>
      <c r="F223" s="6" t="n"/>
      <c r="Q223" s="5" t="n"/>
      <c r="S223" s="5" t="n"/>
    </row>
    <row r="224">
      <c r="A224" s="5" t="n"/>
      <c r="F224" s="6" t="n"/>
      <c r="Q224" s="5" t="n"/>
      <c r="S224" s="5" t="n"/>
    </row>
    <row r="225">
      <c r="A225" s="5" t="n"/>
      <c r="F225" s="6" t="n"/>
      <c r="Q225" s="5" t="n"/>
      <c r="S225" s="5" t="n"/>
    </row>
    <row r="226">
      <c r="A226" s="5" t="n"/>
      <c r="F226" s="6" t="n"/>
      <c r="Q226" s="5" t="n"/>
      <c r="S226" s="5" t="n"/>
    </row>
    <row r="227">
      <c r="A227" s="5" t="n"/>
      <c r="F227" s="6" t="n"/>
      <c r="Q227" s="5" t="n"/>
      <c r="S227" s="5" t="n"/>
    </row>
    <row r="228">
      <c r="A228" s="5" t="n"/>
      <c r="F228" s="6" t="n"/>
      <c r="Q228" s="5" t="n"/>
      <c r="S228" s="5" t="n"/>
    </row>
    <row r="229">
      <c r="A229" s="5" t="n"/>
      <c r="F229" s="6" t="n"/>
      <c r="Q229" s="5" t="n"/>
      <c r="S229" s="5" t="n"/>
    </row>
    <row r="230">
      <c r="A230" s="5" t="n"/>
      <c r="F230" s="6" t="n"/>
      <c r="Q230" s="5" t="n"/>
      <c r="S230" s="5" t="n"/>
    </row>
    <row r="231">
      <c r="A231" s="5" t="n"/>
      <c r="F231" s="6" t="n"/>
      <c r="Q231" s="5" t="n"/>
      <c r="S231" s="5" t="n"/>
    </row>
    <row r="232">
      <c r="A232" s="5" t="n"/>
      <c r="F232" s="6" t="n"/>
      <c r="Q232" s="5" t="n"/>
      <c r="S232" s="5" t="n"/>
    </row>
    <row r="233">
      <c r="A233" s="5" t="n"/>
      <c r="F233" s="6" t="n"/>
      <c r="Q233" s="5" t="n"/>
      <c r="S233" s="5" t="n"/>
    </row>
    <row r="234">
      <c r="A234" s="5" t="n"/>
      <c r="F234" s="6" t="n"/>
      <c r="Q234" s="5" t="n"/>
      <c r="S234" s="5" t="n"/>
    </row>
    <row r="235">
      <c r="A235" s="5" t="n"/>
      <c r="F235" s="6" t="n"/>
      <c r="Q235" s="5" t="n"/>
      <c r="S235" s="5" t="n"/>
    </row>
    <row r="236">
      <c r="A236" s="5" t="n"/>
      <c r="F236" s="6" t="n"/>
      <c r="Q236" s="5" t="n"/>
      <c r="S236" s="5" t="n"/>
    </row>
    <row r="237">
      <c r="A237" s="5" t="n"/>
      <c r="F237" s="6" t="n"/>
      <c r="Q237" s="5" t="n"/>
      <c r="S237" s="5" t="n"/>
    </row>
    <row r="238">
      <c r="A238" s="5" t="n"/>
      <c r="F238" s="6" t="n"/>
      <c r="Q238" s="5" t="n"/>
      <c r="S238" s="5" t="n"/>
    </row>
    <row r="239">
      <c r="A239" s="5" t="n"/>
      <c r="F239" s="6" t="n"/>
      <c r="Q239" s="5" t="n"/>
      <c r="S239" s="5" t="n"/>
    </row>
    <row r="240">
      <c r="A240" s="5" t="n"/>
      <c r="F240" s="6" t="n"/>
      <c r="Q240" s="5" t="n"/>
      <c r="S240" s="5" t="n"/>
    </row>
    <row r="241">
      <c r="A241" s="5" t="n"/>
      <c r="F241" s="6" t="n"/>
      <c r="Q241" s="5" t="n"/>
      <c r="S241" s="5" t="n"/>
    </row>
    <row r="242">
      <c r="A242" s="5" t="n"/>
      <c r="F242" s="6" t="n"/>
      <c r="Q242" s="5" t="n"/>
      <c r="S242" s="5" t="n"/>
    </row>
    <row r="243">
      <c r="A243" s="5" t="n"/>
      <c r="F243" s="6" t="n"/>
      <c r="Q243" s="5" t="n"/>
      <c r="S243" s="5" t="n"/>
    </row>
    <row r="244">
      <c r="A244" s="5" t="n"/>
      <c r="F244" s="6" t="n"/>
      <c r="Q244" s="5" t="n"/>
      <c r="S244" s="5" t="n"/>
    </row>
    <row r="245">
      <c r="A245" s="5" t="n"/>
      <c r="F245" s="6" t="n"/>
      <c r="Q245" s="5" t="n"/>
      <c r="S245" s="5" t="n"/>
    </row>
    <row r="246">
      <c r="A246" s="5" t="n"/>
      <c r="F246" s="6" t="n"/>
      <c r="Q246" s="5" t="n"/>
      <c r="S246" s="5" t="n"/>
    </row>
    <row r="247">
      <c r="A247" s="5" t="n"/>
      <c r="F247" s="6" t="n"/>
      <c r="Q247" s="5" t="n"/>
      <c r="S247" s="5" t="n"/>
    </row>
    <row r="248">
      <c r="A248" s="5" t="n"/>
      <c r="F248" s="6" t="n"/>
      <c r="Q248" s="5" t="n"/>
      <c r="S248" s="5" t="n"/>
    </row>
    <row r="249">
      <c r="A249" s="5" t="n"/>
      <c r="F249" s="6" t="n"/>
      <c r="Q249" s="5" t="n"/>
      <c r="S249" s="5" t="n"/>
    </row>
    <row r="250">
      <c r="A250" s="5" t="n"/>
      <c r="F250" s="6" t="n"/>
      <c r="Q250" s="5" t="n"/>
      <c r="S250" s="5" t="n"/>
    </row>
    <row r="251">
      <c r="A251" s="5" t="n"/>
      <c r="F251" s="6" t="n"/>
      <c r="Q251" s="5" t="n"/>
      <c r="S251" s="5" t="n"/>
    </row>
    <row r="252">
      <c r="A252" s="5" t="n"/>
      <c r="F252" s="6" t="n"/>
      <c r="Q252" s="5" t="n"/>
      <c r="S252" s="5" t="n"/>
    </row>
    <row r="253">
      <c r="A253" s="5" t="n"/>
      <c r="F253" s="6" t="n"/>
      <c r="Q253" s="5" t="n"/>
      <c r="S253" s="5" t="n"/>
    </row>
    <row r="254">
      <c r="A254" s="5" t="n"/>
      <c r="F254" s="6" t="n"/>
      <c r="Q254" s="5" t="n"/>
      <c r="S254" s="5" t="n"/>
    </row>
    <row r="255">
      <c r="A255" s="5" t="n"/>
      <c r="F255" s="6" t="n"/>
      <c r="Q255" s="5" t="n"/>
      <c r="S255" s="5" t="n"/>
    </row>
    <row r="256">
      <c r="A256" s="5" t="n"/>
      <c r="F256" s="6" t="n"/>
      <c r="Q256" s="5" t="n"/>
      <c r="S256" s="5" t="n"/>
    </row>
    <row r="257">
      <c r="A257" s="5" t="n"/>
      <c r="F257" s="6" t="n"/>
      <c r="Q257" s="5" t="n"/>
      <c r="S257" s="5" t="n"/>
    </row>
    <row r="258">
      <c r="A258" s="5" t="n"/>
      <c r="F258" s="6" t="n"/>
      <c r="Q258" s="5" t="n"/>
      <c r="S258" s="5" t="n"/>
    </row>
    <row r="259">
      <c r="A259" s="5" t="n"/>
      <c r="F259" s="6" t="n"/>
      <c r="Q259" s="5" t="n"/>
      <c r="S259" s="5" t="n"/>
    </row>
    <row r="260">
      <c r="A260" s="5" t="n"/>
      <c r="F260" s="6" t="n"/>
      <c r="Q260" s="5" t="n"/>
      <c r="S260" s="5" t="n"/>
    </row>
    <row r="261">
      <c r="A261" s="5" t="n"/>
      <c r="F261" s="6" t="n"/>
      <c r="Q261" s="5" t="n"/>
      <c r="S261" s="5" t="n"/>
    </row>
    <row r="262">
      <c r="A262" s="5" t="n"/>
      <c r="F262" s="6" t="n"/>
      <c r="Q262" s="5" t="n"/>
      <c r="S262" s="5" t="n"/>
    </row>
    <row r="263">
      <c r="A263" s="5" t="n"/>
      <c r="F263" s="6" t="n"/>
      <c r="Q263" s="5" t="n"/>
      <c r="S263" s="5" t="n"/>
    </row>
    <row r="264">
      <c r="A264" s="5" t="n"/>
      <c r="F264" s="6" t="n"/>
      <c r="Q264" s="5" t="n"/>
      <c r="S264" s="5" t="n"/>
    </row>
    <row r="265">
      <c r="A265" s="5" t="n"/>
      <c r="F265" s="6" t="n"/>
      <c r="Q265" s="5" t="n"/>
      <c r="S265" s="5" t="n"/>
    </row>
    <row r="266">
      <c r="A266" s="5" t="n"/>
      <c r="F266" s="6" t="n"/>
      <c r="Q266" s="5" t="n"/>
      <c r="S266" s="5" t="n"/>
    </row>
    <row r="267">
      <c r="A267" s="5" t="n"/>
      <c r="F267" s="6" t="n"/>
      <c r="Q267" s="5" t="n"/>
      <c r="S267" s="5" t="n"/>
    </row>
    <row r="268">
      <c r="A268" s="5" t="n"/>
      <c r="F268" s="6" t="n"/>
      <c r="Q268" s="5" t="n"/>
      <c r="S268" s="5" t="n"/>
    </row>
    <row r="269">
      <c r="A269" s="5" t="n"/>
      <c r="F269" s="6" t="n"/>
      <c r="Q269" s="5" t="n"/>
      <c r="S269" s="5" t="n"/>
    </row>
    <row r="270">
      <c r="A270" s="5" t="n"/>
      <c r="F270" s="6" t="n"/>
      <c r="Q270" s="5" t="n"/>
      <c r="S270" s="5" t="n"/>
    </row>
    <row r="271">
      <c r="A271" s="5" t="n"/>
      <c r="F271" s="6" t="n"/>
      <c r="Q271" s="5" t="n"/>
      <c r="S271" s="5" t="n"/>
    </row>
    <row r="272">
      <c r="A272" s="5" t="n"/>
      <c r="F272" s="6" t="n"/>
      <c r="Q272" s="5" t="n"/>
      <c r="S272" s="5" t="n"/>
    </row>
    <row r="273">
      <c r="A273" s="5" t="n"/>
      <c r="F273" s="6" t="n"/>
      <c r="Q273" s="5" t="n"/>
      <c r="S273" s="5" t="n"/>
    </row>
    <row r="274">
      <c r="A274" s="5" t="n"/>
      <c r="F274" s="6" t="n"/>
      <c r="Q274" s="5" t="n"/>
      <c r="S274" s="5" t="n"/>
    </row>
    <row r="275">
      <c r="A275" s="5" t="n"/>
      <c r="F275" s="6" t="n"/>
      <c r="Q275" s="5" t="n"/>
      <c r="S275" s="5" t="n"/>
    </row>
    <row r="276">
      <c r="A276" s="5" t="n"/>
      <c r="F276" s="6" t="n"/>
      <c r="Q276" s="5" t="n"/>
      <c r="S276" s="5" t="n"/>
    </row>
    <row r="277">
      <c r="A277" s="5" t="n"/>
      <c r="F277" s="6" t="n"/>
      <c r="Q277" s="5" t="n"/>
      <c r="S277" s="5" t="n"/>
    </row>
    <row r="278">
      <c r="A278" s="5" t="n"/>
      <c r="F278" s="6" t="n"/>
      <c r="Q278" s="5" t="n"/>
      <c r="S278" s="5" t="n"/>
    </row>
    <row r="279">
      <c r="A279" s="5" t="n"/>
      <c r="F279" s="6" t="n"/>
      <c r="Q279" s="5" t="n"/>
      <c r="S279" s="5" t="n"/>
    </row>
    <row r="280">
      <c r="A280" s="5" t="n"/>
      <c r="F280" s="6" t="n"/>
      <c r="Q280" s="5" t="n"/>
      <c r="S280" s="5" t="n"/>
    </row>
    <row r="281">
      <c r="A281" s="5" t="n"/>
      <c r="F281" s="6" t="n"/>
      <c r="Q281" s="5" t="n"/>
      <c r="S281" s="5" t="n"/>
    </row>
    <row r="282">
      <c r="A282" s="5" t="n"/>
      <c r="F282" s="6" t="n"/>
      <c r="Q282" s="5" t="n"/>
      <c r="S282" s="5" t="n"/>
    </row>
    <row r="283">
      <c r="A283" s="5" t="n"/>
      <c r="F283" s="6" t="n"/>
      <c r="Q283" s="5" t="n"/>
      <c r="S283" s="5" t="n"/>
    </row>
    <row r="284">
      <c r="A284" s="5" t="n"/>
      <c r="F284" s="6" t="n"/>
      <c r="Q284" s="5" t="n"/>
      <c r="S284" s="5" t="n"/>
    </row>
    <row r="285">
      <c r="A285" s="5" t="n"/>
      <c r="F285" s="6" t="n"/>
      <c r="Q285" s="5" t="n"/>
      <c r="S285" s="5" t="n"/>
    </row>
    <row r="286">
      <c r="A286" s="5" t="n"/>
      <c r="F286" s="6" t="n"/>
      <c r="Q286" s="5" t="n"/>
      <c r="S286" s="5" t="n"/>
    </row>
    <row r="287">
      <c r="A287" s="5" t="n"/>
      <c r="F287" s="6" t="n"/>
      <c r="Q287" s="5" t="n"/>
      <c r="S287" s="5" t="n"/>
    </row>
    <row r="288">
      <c r="A288" s="5" t="n"/>
      <c r="F288" s="6" t="n"/>
      <c r="Q288" s="5" t="n"/>
      <c r="S288" s="5" t="n"/>
    </row>
    <row r="289">
      <c r="A289" s="5" t="n"/>
      <c r="F289" s="6" t="n"/>
      <c r="Q289" s="5" t="n"/>
      <c r="S289" s="5" t="n"/>
    </row>
    <row r="290">
      <c r="A290" s="5" t="n"/>
      <c r="F290" s="6" t="n"/>
      <c r="Q290" s="5" t="n"/>
      <c r="S290" s="5" t="n"/>
    </row>
    <row r="291">
      <c r="A291" s="5" t="n"/>
      <c r="F291" s="6" t="n"/>
      <c r="Q291" s="5" t="n"/>
      <c r="S291" s="5" t="n"/>
    </row>
    <row r="292">
      <c r="A292" s="5" t="n"/>
      <c r="F292" s="6" t="n"/>
      <c r="Q292" s="5" t="n"/>
      <c r="S292" s="5" t="n"/>
    </row>
    <row r="293">
      <c r="A293" s="5" t="n"/>
      <c r="F293" s="6" t="n"/>
      <c r="Q293" s="5" t="n"/>
      <c r="S293" s="5" t="n"/>
    </row>
    <row r="294">
      <c r="A294" s="5" t="n"/>
      <c r="F294" s="6" t="n"/>
      <c r="Q294" s="5" t="n"/>
      <c r="S294" s="5" t="n"/>
    </row>
    <row r="295">
      <c r="A295" s="5" t="n"/>
      <c r="F295" s="6" t="n"/>
      <c r="Q295" s="5" t="n"/>
      <c r="S295" s="5" t="n"/>
    </row>
    <row r="296">
      <c r="A296" s="5" t="n"/>
      <c r="F296" s="6" t="n"/>
      <c r="Q296" s="5" t="n"/>
      <c r="S296" s="5" t="n"/>
    </row>
    <row r="297">
      <c r="A297" s="5" t="n"/>
      <c r="F297" s="6" t="n"/>
      <c r="Q297" s="5" t="n"/>
      <c r="S297" s="5" t="n"/>
    </row>
    <row r="298">
      <c r="A298" s="5" t="n"/>
      <c r="F298" s="6" t="n"/>
      <c r="Q298" s="5" t="n"/>
      <c r="S298" s="5" t="n"/>
    </row>
    <row r="299">
      <c r="A299" s="5" t="n"/>
      <c r="F299" s="6" t="n"/>
      <c r="Q299" s="5" t="n"/>
      <c r="S299" s="5" t="n"/>
    </row>
    <row r="300">
      <c r="A300" s="5" t="n"/>
      <c r="F300" s="6" t="n"/>
      <c r="Q300" s="5" t="n"/>
      <c r="S300" s="5" t="n"/>
    </row>
    <row r="301">
      <c r="A301" s="5" t="n"/>
      <c r="F301" s="6" t="n"/>
      <c r="Q301" s="5" t="n"/>
      <c r="S301" s="5" t="n"/>
    </row>
    <row r="302">
      <c r="A302" s="5" t="n"/>
      <c r="F302" s="6" t="n"/>
      <c r="Q302" s="5" t="n"/>
      <c r="S302" s="5" t="n"/>
    </row>
    <row r="303">
      <c r="A303" s="5" t="n"/>
      <c r="F303" s="6" t="n"/>
      <c r="Q303" s="5" t="n"/>
      <c r="S303" s="5" t="n"/>
    </row>
    <row r="304">
      <c r="A304" s="5" t="n"/>
      <c r="F304" s="6" t="n"/>
      <c r="Q304" s="5" t="n"/>
      <c r="S304" s="5" t="n"/>
    </row>
    <row r="305">
      <c r="A305" s="5" t="n"/>
      <c r="F305" s="6" t="n"/>
      <c r="Q305" s="5" t="n"/>
      <c r="S305" s="5" t="n"/>
    </row>
    <row r="306">
      <c r="A306" s="5" t="n"/>
      <c r="F306" s="6" t="n"/>
      <c r="Q306" s="5" t="n"/>
      <c r="S306" s="5" t="n"/>
    </row>
    <row r="307">
      <c r="A307" s="5" t="n"/>
      <c r="F307" s="6" t="n"/>
      <c r="Q307" s="5" t="n"/>
      <c r="S307" s="5" t="n"/>
    </row>
    <row r="308">
      <c r="A308" s="5" t="n"/>
      <c r="F308" s="6" t="n"/>
      <c r="Q308" s="5" t="n"/>
      <c r="S308" s="5" t="n"/>
    </row>
    <row r="309">
      <c r="A309" s="5" t="n"/>
      <c r="F309" s="6" t="n"/>
      <c r="Q309" s="5" t="n"/>
      <c r="S309" s="5" t="n"/>
    </row>
    <row r="310">
      <c r="A310" s="5" t="n"/>
      <c r="F310" s="6" t="n"/>
      <c r="Q310" s="5" t="n"/>
      <c r="S310" s="5" t="n"/>
    </row>
    <row r="311">
      <c r="A311" s="5" t="n"/>
      <c r="F311" s="6" t="n"/>
      <c r="Q311" s="5" t="n"/>
      <c r="S311" s="5" t="n"/>
    </row>
    <row r="312">
      <c r="A312" s="5" t="n"/>
      <c r="F312" s="6" t="n"/>
      <c r="Q312" s="5" t="n"/>
      <c r="S312" s="5" t="n"/>
    </row>
    <row r="313">
      <c r="A313" s="5" t="n"/>
      <c r="F313" s="6" t="n"/>
      <c r="Q313" s="5" t="n"/>
      <c r="S313" s="5" t="n"/>
    </row>
    <row r="314">
      <c r="A314" s="5" t="n"/>
      <c r="F314" s="6" t="n"/>
      <c r="Q314" s="5" t="n"/>
      <c r="S314" s="5" t="n"/>
    </row>
    <row r="315">
      <c r="A315" s="5" t="n"/>
      <c r="F315" s="6" t="n"/>
      <c r="Q315" s="5" t="n"/>
      <c r="S315" s="5" t="n"/>
    </row>
    <row r="316">
      <c r="A316" s="5" t="n"/>
      <c r="F316" s="6" t="n"/>
      <c r="Q316" s="5" t="n"/>
      <c r="S316" s="5" t="n"/>
    </row>
    <row r="317">
      <c r="A317" s="5" t="n"/>
      <c r="F317" s="6" t="n"/>
      <c r="Q317" s="5" t="n"/>
      <c r="S317" s="5" t="n"/>
    </row>
    <row r="318">
      <c r="A318" s="5" t="n"/>
      <c r="F318" s="6" t="n"/>
      <c r="Q318" s="5" t="n"/>
      <c r="S318" s="5" t="n"/>
    </row>
    <row r="319">
      <c r="A319" s="5" t="n"/>
      <c r="F319" s="6" t="n"/>
      <c r="Q319" s="5" t="n"/>
      <c r="S319" s="5" t="n"/>
    </row>
    <row r="320">
      <c r="A320" s="5" t="n"/>
      <c r="F320" s="6" t="n"/>
      <c r="Q320" s="5" t="n"/>
      <c r="S320" s="5" t="n"/>
    </row>
    <row r="321">
      <c r="A321" s="5" t="n"/>
      <c r="F321" s="6" t="n"/>
      <c r="Q321" s="5" t="n"/>
      <c r="S321" s="5" t="n"/>
    </row>
    <row r="322">
      <c r="A322" s="5" t="n"/>
      <c r="F322" s="6" t="n"/>
      <c r="Q322" s="5" t="n"/>
      <c r="S322" s="5" t="n"/>
    </row>
    <row r="323">
      <c r="A323" s="5" t="n"/>
      <c r="F323" s="6" t="n"/>
      <c r="Q323" s="5" t="n"/>
      <c r="S323" s="5" t="n"/>
    </row>
    <row r="324">
      <c r="A324" s="5" t="n"/>
      <c r="F324" s="6" t="n"/>
      <c r="Q324" s="5" t="n"/>
      <c r="S324" s="5" t="n"/>
    </row>
    <row r="325">
      <c r="A325" s="5" t="n"/>
      <c r="F325" s="6" t="n"/>
      <c r="Q325" s="5" t="n"/>
      <c r="S325" s="5" t="n"/>
    </row>
    <row r="326">
      <c r="A326" s="5" t="n"/>
      <c r="F326" s="6" t="n"/>
      <c r="Q326" s="5" t="n"/>
      <c r="S326" s="5" t="n"/>
    </row>
    <row r="327">
      <c r="A327" s="5" t="n"/>
      <c r="F327" s="6" t="n"/>
      <c r="Q327" s="5" t="n"/>
      <c r="S327" s="5" t="n"/>
    </row>
    <row r="328">
      <c r="A328" s="5" t="n"/>
      <c r="F328" s="6" t="n"/>
      <c r="Q328" s="5" t="n"/>
      <c r="S328" s="5" t="n"/>
    </row>
    <row r="329">
      <c r="A329" s="5" t="n"/>
      <c r="F329" s="6" t="n"/>
      <c r="Q329" s="5" t="n"/>
      <c r="S329" s="5" t="n"/>
    </row>
    <row r="330">
      <c r="A330" s="5" t="n"/>
      <c r="F330" s="6" t="n"/>
      <c r="Q330" s="5" t="n"/>
      <c r="S330" s="5" t="n"/>
    </row>
    <row r="331">
      <c r="A331" s="5" t="n"/>
      <c r="F331" s="6" t="n"/>
      <c r="Q331" s="5" t="n"/>
      <c r="S331" s="5" t="n"/>
    </row>
    <row r="332">
      <c r="A332" s="5" t="n"/>
      <c r="F332" s="6" t="n"/>
      <c r="Q332" s="5" t="n"/>
      <c r="S332" s="5" t="n"/>
    </row>
    <row r="333">
      <c r="A333" s="5" t="n"/>
      <c r="F333" s="6" t="n"/>
      <c r="Q333" s="5" t="n"/>
      <c r="S333" s="5" t="n"/>
    </row>
    <row r="334">
      <c r="A334" s="5" t="n"/>
      <c r="F334" s="6" t="n"/>
      <c r="Q334" s="5" t="n"/>
      <c r="S334" s="5" t="n"/>
    </row>
    <row r="335">
      <c r="A335" s="5" t="n"/>
      <c r="F335" s="6" t="n"/>
      <c r="Q335" s="5" t="n"/>
      <c r="S335" s="5" t="n"/>
    </row>
    <row r="336">
      <c r="A336" s="5" t="n"/>
      <c r="F336" s="6" t="n"/>
      <c r="Q336" s="5" t="n"/>
      <c r="S336" s="5" t="n"/>
    </row>
    <row r="337">
      <c r="A337" s="5" t="n"/>
      <c r="F337" s="6" t="n"/>
      <c r="Q337" s="5" t="n"/>
      <c r="S337" s="5" t="n"/>
    </row>
    <row r="338">
      <c r="A338" s="5" t="n"/>
      <c r="F338" s="6" t="n"/>
      <c r="Q338" s="5" t="n"/>
      <c r="S338" s="5" t="n"/>
    </row>
    <row r="339">
      <c r="A339" s="5" t="n"/>
      <c r="F339" s="6" t="n"/>
      <c r="Q339" s="5" t="n"/>
      <c r="S339" s="5" t="n"/>
    </row>
    <row r="340">
      <c r="A340" s="5" t="n"/>
      <c r="F340" s="6" t="n"/>
      <c r="Q340" s="5" t="n"/>
      <c r="S340" s="5" t="n"/>
    </row>
    <row r="341">
      <c r="A341" s="5" t="n"/>
      <c r="F341" s="6" t="n"/>
      <c r="Q341" s="5" t="n"/>
      <c r="S341" s="5" t="n"/>
    </row>
    <row r="342">
      <c r="A342" s="5" t="n"/>
      <c r="F342" s="6" t="n"/>
      <c r="Q342" s="5" t="n"/>
      <c r="S342" s="5" t="n"/>
    </row>
    <row r="343">
      <c r="A343" s="5" t="n"/>
      <c r="F343" s="6" t="n"/>
      <c r="Q343" s="5" t="n"/>
      <c r="S343" s="5" t="n"/>
    </row>
    <row r="344">
      <c r="A344" s="5" t="n"/>
      <c r="F344" s="6" t="n"/>
      <c r="Q344" s="5" t="n"/>
      <c r="S344" s="5" t="n"/>
    </row>
    <row r="345">
      <c r="A345" s="5" t="n"/>
      <c r="F345" s="6" t="n"/>
      <c r="Q345" s="5" t="n"/>
      <c r="S345" s="5" t="n"/>
    </row>
    <row r="346">
      <c r="A346" s="5" t="n"/>
      <c r="F346" s="6" t="n"/>
      <c r="Q346" s="5" t="n"/>
      <c r="S346" s="5" t="n"/>
    </row>
    <row r="347">
      <c r="A347" s="5" t="n"/>
      <c r="F347" s="6" t="n"/>
      <c r="Q347" s="5" t="n"/>
      <c r="S347" s="5" t="n"/>
    </row>
    <row r="348">
      <c r="A348" s="5" t="n"/>
      <c r="F348" s="6" t="n"/>
      <c r="Q348" s="5" t="n"/>
      <c r="S348" s="5" t="n"/>
    </row>
    <row r="349">
      <c r="A349" s="5" t="n"/>
      <c r="F349" s="6" t="n"/>
      <c r="Q349" s="5" t="n"/>
      <c r="S349" s="5" t="n"/>
    </row>
    <row r="350">
      <c r="A350" s="5" t="n"/>
      <c r="F350" s="6" t="n"/>
      <c r="Q350" s="5" t="n"/>
      <c r="S350" s="5" t="n"/>
    </row>
    <row r="351">
      <c r="A351" s="5" t="n"/>
      <c r="F351" s="6" t="n"/>
      <c r="Q351" s="5" t="n"/>
      <c r="S351" s="5" t="n"/>
    </row>
    <row r="352">
      <c r="A352" s="5" t="n"/>
      <c r="F352" s="6" t="n"/>
      <c r="Q352" s="5" t="n"/>
      <c r="S352" s="5" t="n"/>
    </row>
    <row r="353">
      <c r="A353" s="5" t="n"/>
      <c r="F353" s="6" t="n"/>
      <c r="Q353" s="5" t="n"/>
      <c r="S353" s="5" t="n"/>
    </row>
    <row r="354">
      <c r="A354" s="5" t="n"/>
      <c r="F354" s="6" t="n"/>
      <c r="Q354" s="5" t="n"/>
      <c r="S354" s="5" t="n"/>
    </row>
    <row r="355">
      <c r="A355" s="5" t="n"/>
      <c r="F355" s="6" t="n"/>
      <c r="Q355" s="5" t="n"/>
      <c r="S355" s="5" t="n"/>
    </row>
    <row r="356">
      <c r="A356" s="5" t="n"/>
      <c r="F356" s="6" t="n"/>
      <c r="Q356" s="5" t="n"/>
      <c r="S356" s="5" t="n"/>
    </row>
    <row r="357">
      <c r="A357" s="5" t="n"/>
      <c r="F357" s="6" t="n"/>
      <c r="Q357" s="5" t="n"/>
      <c r="S357" s="5" t="n"/>
    </row>
    <row r="358">
      <c r="A358" s="5" t="n"/>
      <c r="F358" s="6" t="n"/>
      <c r="Q358" s="5" t="n"/>
      <c r="S358" s="5" t="n"/>
    </row>
    <row r="359">
      <c r="A359" s="5" t="n"/>
      <c r="F359" s="6" t="n"/>
      <c r="Q359" s="5" t="n"/>
      <c r="S359" s="5" t="n"/>
    </row>
    <row r="360">
      <c r="A360" s="5" t="n"/>
      <c r="F360" s="6" t="n"/>
      <c r="Q360" s="5" t="n"/>
      <c r="S360" s="5" t="n"/>
    </row>
    <row r="361">
      <c r="A361" s="5" t="n"/>
      <c r="F361" s="6" t="n"/>
      <c r="Q361" s="5" t="n"/>
      <c r="S361" s="5" t="n"/>
    </row>
    <row r="362">
      <c r="A362" s="5" t="n"/>
      <c r="F362" s="6" t="n"/>
      <c r="Q362" s="5" t="n"/>
      <c r="S362" s="5" t="n"/>
    </row>
    <row r="363">
      <c r="A363" s="5" t="n"/>
      <c r="F363" s="6" t="n"/>
      <c r="Q363" s="5" t="n"/>
      <c r="S363" s="5" t="n"/>
    </row>
    <row r="364">
      <c r="A364" s="5" t="n"/>
      <c r="F364" s="6" t="n"/>
      <c r="Q364" s="5" t="n"/>
      <c r="S364" s="5" t="n"/>
    </row>
    <row r="365">
      <c r="A365" s="5" t="n"/>
      <c r="F365" s="6" t="n"/>
      <c r="Q365" s="5" t="n"/>
      <c r="S365" s="5" t="n"/>
    </row>
    <row r="366">
      <c r="A366" s="5" t="n"/>
      <c r="F366" s="6" t="n"/>
      <c r="Q366" s="5" t="n"/>
      <c r="S366" s="5" t="n"/>
    </row>
    <row r="367">
      <c r="A367" s="5" t="n"/>
      <c r="F367" s="6" t="n"/>
      <c r="Q367" s="5" t="n"/>
      <c r="S367" s="5" t="n"/>
    </row>
    <row r="368">
      <c r="A368" s="5" t="n"/>
      <c r="F368" s="6" t="n"/>
      <c r="Q368" s="5" t="n"/>
      <c r="S368" s="5" t="n"/>
    </row>
    <row r="369">
      <c r="A369" s="5" t="n"/>
      <c r="F369" s="6" t="n"/>
      <c r="Q369" s="5" t="n"/>
      <c r="S369" s="5" t="n"/>
    </row>
    <row r="370">
      <c r="A370" s="5" t="n"/>
      <c r="F370" s="6" t="n"/>
      <c r="Q370" s="5" t="n"/>
      <c r="S370" s="5" t="n"/>
    </row>
    <row r="371">
      <c r="A371" s="5" t="n"/>
      <c r="F371" s="6" t="n"/>
      <c r="Q371" s="5" t="n"/>
      <c r="S371" s="5" t="n"/>
    </row>
    <row r="372">
      <c r="A372" s="5" t="n"/>
      <c r="F372" s="6" t="n"/>
      <c r="Q372" s="5" t="n"/>
      <c r="S372" s="5" t="n"/>
    </row>
    <row r="373">
      <c r="A373" s="5" t="n"/>
      <c r="F373" s="6" t="n"/>
      <c r="Q373" s="5" t="n"/>
      <c r="S373" s="5" t="n"/>
    </row>
    <row r="374">
      <c r="A374" s="5" t="n"/>
      <c r="F374" s="6" t="n"/>
      <c r="Q374" s="5" t="n"/>
      <c r="S374" s="5" t="n"/>
    </row>
    <row r="375">
      <c r="A375" s="5" t="n"/>
      <c r="F375" s="6" t="n"/>
      <c r="Q375" s="5" t="n"/>
      <c r="S375" s="5" t="n"/>
    </row>
    <row r="376">
      <c r="A376" s="5" t="n"/>
      <c r="F376" s="6" t="n"/>
      <c r="Q376" s="5" t="n"/>
      <c r="S376" s="5" t="n"/>
    </row>
    <row r="377">
      <c r="A377" s="5" t="n"/>
      <c r="F377" s="6" t="n"/>
      <c r="Q377" s="5" t="n"/>
      <c r="S377" s="5" t="n"/>
    </row>
    <row r="378">
      <c r="A378" s="5" t="n"/>
      <c r="F378" s="6" t="n"/>
      <c r="Q378" s="5" t="n"/>
      <c r="S378" s="5" t="n"/>
    </row>
    <row r="379">
      <c r="A379" s="5" t="n"/>
      <c r="F379" s="6" t="n"/>
      <c r="Q379" s="5" t="n"/>
      <c r="S379" s="5" t="n"/>
    </row>
    <row r="380">
      <c r="A380" s="5" t="n"/>
      <c r="F380" s="6" t="n"/>
      <c r="Q380" s="5" t="n"/>
      <c r="S380" s="5" t="n"/>
    </row>
    <row r="381">
      <c r="A381" s="5" t="n"/>
      <c r="F381" s="6" t="n"/>
      <c r="Q381" s="5" t="n"/>
      <c r="S381" s="5" t="n"/>
    </row>
    <row r="382">
      <c r="A382" s="5" t="n"/>
      <c r="F382" s="6" t="n"/>
      <c r="Q382" s="5" t="n"/>
      <c r="S382" s="5" t="n"/>
    </row>
    <row r="383">
      <c r="A383" s="5" t="n"/>
      <c r="F383" s="6" t="n"/>
      <c r="Q383" s="5" t="n"/>
      <c r="S383" s="5" t="n"/>
    </row>
    <row r="384">
      <c r="A384" s="5" t="n"/>
      <c r="F384" s="6" t="n"/>
      <c r="Q384" s="5" t="n"/>
      <c r="S384" s="5" t="n"/>
    </row>
    <row r="385">
      <c r="A385" s="5" t="n"/>
      <c r="F385" s="6" t="n"/>
      <c r="Q385" s="5" t="n"/>
      <c r="S385" s="5" t="n"/>
    </row>
    <row r="386">
      <c r="A386" s="5" t="n"/>
      <c r="F386" s="6" t="n"/>
      <c r="Q386" s="5" t="n"/>
      <c r="S386" s="5" t="n"/>
    </row>
    <row r="387">
      <c r="A387" s="5" t="n"/>
      <c r="F387" s="6" t="n"/>
      <c r="Q387" s="5" t="n"/>
      <c r="S387" s="5" t="n"/>
    </row>
    <row r="388">
      <c r="A388" s="5" t="n"/>
      <c r="F388" s="6" t="n"/>
      <c r="Q388" s="5" t="n"/>
      <c r="S388" s="5" t="n"/>
    </row>
    <row r="389">
      <c r="A389" s="5" t="n"/>
      <c r="F389" s="6" t="n"/>
      <c r="Q389" s="5" t="n"/>
      <c r="S389" s="5" t="n"/>
    </row>
    <row r="390">
      <c r="A390" s="5" t="n"/>
      <c r="F390" s="6" t="n"/>
      <c r="Q390" s="5" t="n"/>
      <c r="S390" s="5" t="n"/>
    </row>
    <row r="391">
      <c r="A391" s="5" t="n"/>
      <c r="F391" s="6" t="n"/>
      <c r="Q391" s="5" t="n"/>
      <c r="S391" s="5" t="n"/>
    </row>
    <row r="392">
      <c r="A392" s="5" t="n"/>
      <c r="F392" s="6" t="n"/>
      <c r="Q392" s="5" t="n"/>
      <c r="S392" s="5" t="n"/>
    </row>
    <row r="393">
      <c r="A393" s="5" t="n"/>
      <c r="F393" s="6" t="n"/>
      <c r="Q393" s="5" t="n"/>
      <c r="S393" s="5" t="n"/>
    </row>
    <row r="394">
      <c r="A394" s="5" t="n"/>
      <c r="F394" s="6" t="n"/>
      <c r="Q394" s="5" t="n"/>
      <c r="S394" s="5" t="n"/>
    </row>
    <row r="395">
      <c r="A395" s="5" t="n"/>
      <c r="F395" s="6" t="n"/>
      <c r="Q395" s="5" t="n"/>
      <c r="S395" s="5" t="n"/>
    </row>
    <row r="396">
      <c r="A396" s="5" t="n"/>
      <c r="F396" s="6" t="n"/>
      <c r="Q396" s="5" t="n"/>
      <c r="S396" s="5" t="n"/>
    </row>
    <row r="397">
      <c r="A397" s="5" t="n"/>
      <c r="F397" s="6" t="n"/>
      <c r="Q397" s="5" t="n"/>
      <c r="S397" s="5" t="n"/>
    </row>
    <row r="398">
      <c r="A398" s="5" t="n"/>
      <c r="F398" s="6" t="n"/>
      <c r="Q398" s="5" t="n"/>
      <c r="S398" s="5" t="n"/>
    </row>
    <row r="399">
      <c r="A399" s="5" t="n"/>
      <c r="F399" s="6" t="n"/>
      <c r="Q399" s="5" t="n"/>
      <c r="S399" s="5" t="n"/>
    </row>
    <row r="400">
      <c r="A400" s="5" t="n"/>
      <c r="F400" s="6" t="n"/>
      <c r="Q400" s="5" t="n"/>
      <c r="S400" s="5" t="n"/>
    </row>
    <row r="401">
      <c r="A401" s="5" t="n"/>
      <c r="F401" s="6" t="n"/>
      <c r="Q401" s="5" t="n"/>
      <c r="S401" s="5" t="n"/>
    </row>
    <row r="402">
      <c r="A402" s="5" t="n"/>
      <c r="F402" s="6" t="n"/>
      <c r="Q402" s="5" t="n"/>
      <c r="S402" s="5" t="n"/>
    </row>
    <row r="403">
      <c r="A403" s="5" t="n"/>
      <c r="F403" s="6" t="n"/>
      <c r="Q403" s="5" t="n"/>
      <c r="S403" s="5" t="n"/>
    </row>
    <row r="404">
      <c r="A404" s="5" t="n"/>
      <c r="F404" s="6" t="n"/>
      <c r="Q404" s="5" t="n"/>
      <c r="S404" s="5" t="n"/>
    </row>
    <row r="405">
      <c r="A405" s="5" t="n"/>
      <c r="F405" s="6" t="n"/>
      <c r="Q405" s="5" t="n"/>
      <c r="S405" s="5" t="n"/>
    </row>
    <row r="406">
      <c r="A406" s="5" t="n"/>
      <c r="F406" s="6" t="n"/>
      <c r="Q406" s="5" t="n"/>
      <c r="S406" s="5" t="n"/>
    </row>
    <row r="407">
      <c r="A407" s="5" t="n"/>
      <c r="F407" s="6" t="n"/>
      <c r="Q407" s="5" t="n"/>
      <c r="S407" s="5" t="n"/>
    </row>
    <row r="408">
      <c r="A408" s="5" t="n"/>
      <c r="F408" s="6" t="n"/>
      <c r="Q408" s="5" t="n"/>
      <c r="S408" s="5" t="n"/>
    </row>
    <row r="409">
      <c r="A409" s="5" t="n"/>
      <c r="F409" s="6" t="n"/>
      <c r="Q409" s="5" t="n"/>
      <c r="S409" s="5" t="n"/>
    </row>
    <row r="410">
      <c r="A410" s="5" t="n"/>
      <c r="F410" s="6" t="n"/>
      <c r="Q410" s="5" t="n"/>
      <c r="S410" s="5" t="n"/>
    </row>
    <row r="411">
      <c r="A411" s="5" t="n"/>
      <c r="F411" s="6" t="n"/>
      <c r="Q411" s="5" t="n"/>
      <c r="S411" s="5" t="n"/>
    </row>
    <row r="412">
      <c r="A412" s="5" t="n"/>
      <c r="F412" s="6" t="n"/>
      <c r="Q412" s="5" t="n"/>
      <c r="S412" s="5" t="n"/>
    </row>
    <row r="413">
      <c r="A413" s="5" t="n"/>
      <c r="F413" s="6" t="n"/>
      <c r="Q413" s="5" t="n"/>
      <c r="S413" s="5" t="n"/>
    </row>
    <row r="414">
      <c r="A414" s="5" t="n"/>
      <c r="F414" s="6" t="n"/>
      <c r="Q414" s="5" t="n"/>
      <c r="S414" s="5" t="n"/>
    </row>
    <row r="415">
      <c r="A415" s="5" t="n"/>
      <c r="F415" s="6" t="n"/>
      <c r="Q415" s="5" t="n"/>
      <c r="S415" s="5" t="n"/>
    </row>
    <row r="416">
      <c r="A416" s="5" t="n"/>
      <c r="F416" s="6" t="n"/>
      <c r="Q416" s="5" t="n"/>
      <c r="S416" s="5" t="n"/>
    </row>
    <row r="417">
      <c r="A417" s="5" t="n"/>
      <c r="F417" s="6" t="n"/>
      <c r="Q417" s="5" t="n"/>
      <c r="S417" s="5" t="n"/>
    </row>
    <row r="418">
      <c r="A418" s="5" t="n"/>
      <c r="F418" s="6" t="n"/>
      <c r="Q418" s="5" t="n"/>
      <c r="S418" s="5" t="n"/>
    </row>
    <row r="419">
      <c r="A419" s="5" t="n"/>
      <c r="F419" s="6" t="n"/>
      <c r="Q419" s="5" t="n"/>
      <c r="S419" s="5" t="n"/>
    </row>
    <row r="420">
      <c r="A420" s="5" t="n"/>
      <c r="F420" s="6" t="n"/>
      <c r="Q420" s="5" t="n"/>
      <c r="S420" s="5" t="n"/>
    </row>
    <row r="421">
      <c r="A421" s="5" t="n"/>
      <c r="F421" s="6" t="n"/>
      <c r="Q421" s="5" t="n"/>
      <c r="S421" s="5" t="n"/>
    </row>
    <row r="422">
      <c r="A422" s="5" t="n"/>
      <c r="F422" s="6" t="n"/>
      <c r="Q422" s="5" t="n"/>
      <c r="S422" s="5" t="n"/>
    </row>
    <row r="423">
      <c r="A423" s="5" t="n"/>
      <c r="F423" s="6" t="n"/>
      <c r="Q423" s="5" t="n"/>
      <c r="S423" s="5" t="n"/>
    </row>
    <row r="424">
      <c r="A424" s="5" t="n"/>
      <c r="F424" s="6" t="n"/>
      <c r="Q424" s="5" t="n"/>
      <c r="S424" s="5" t="n"/>
    </row>
    <row r="425">
      <c r="A425" s="5" t="n"/>
      <c r="F425" s="6" t="n"/>
      <c r="Q425" s="5" t="n"/>
      <c r="S425" s="5" t="n"/>
    </row>
    <row r="426">
      <c r="A426" s="5" t="n"/>
      <c r="F426" s="6" t="n"/>
      <c r="Q426" s="5" t="n"/>
      <c r="S426" s="5" t="n"/>
    </row>
    <row r="427">
      <c r="A427" s="5" t="n"/>
      <c r="F427" s="6" t="n"/>
      <c r="Q427" s="5" t="n"/>
      <c r="S427" s="5" t="n"/>
    </row>
    <row r="428">
      <c r="A428" s="5" t="n"/>
      <c r="F428" s="6" t="n"/>
      <c r="Q428" s="5" t="n"/>
      <c r="S428" s="5" t="n"/>
    </row>
    <row r="429">
      <c r="A429" s="5" t="n"/>
      <c r="F429" s="6" t="n"/>
      <c r="Q429" s="5" t="n"/>
      <c r="S429" s="5" t="n"/>
    </row>
    <row r="430">
      <c r="A430" s="5" t="n"/>
      <c r="F430" s="6" t="n"/>
      <c r="Q430" s="5" t="n"/>
      <c r="S430" s="5" t="n"/>
    </row>
    <row r="431">
      <c r="A431" s="5" t="n"/>
      <c r="F431" s="6" t="n"/>
      <c r="Q431" s="5" t="n"/>
      <c r="S431" s="5" t="n"/>
    </row>
    <row r="432">
      <c r="A432" s="5" t="n"/>
      <c r="F432" s="6" t="n"/>
      <c r="Q432" s="5" t="n"/>
      <c r="S432" s="5" t="n"/>
    </row>
    <row r="433">
      <c r="A433" s="5" t="n"/>
      <c r="F433" s="6" t="n"/>
      <c r="Q433" s="5" t="n"/>
      <c r="S433" s="5" t="n"/>
    </row>
    <row r="434">
      <c r="A434" s="5" t="n"/>
      <c r="F434" s="6" t="n"/>
      <c r="Q434" s="5" t="n"/>
      <c r="S434" s="5" t="n"/>
    </row>
    <row r="435">
      <c r="A435" s="5" t="n"/>
      <c r="F435" s="6" t="n"/>
      <c r="Q435" s="5" t="n"/>
      <c r="S435" s="5" t="n"/>
    </row>
    <row r="436">
      <c r="A436" s="5" t="n"/>
      <c r="F436" s="6" t="n"/>
      <c r="Q436" s="5" t="n"/>
      <c r="S436" s="5" t="n"/>
    </row>
    <row r="437">
      <c r="A437" s="5" t="n"/>
      <c r="F437" s="6" t="n"/>
      <c r="Q437" s="5" t="n"/>
      <c r="S437" s="5" t="n"/>
    </row>
    <row r="438">
      <c r="A438" s="5" t="n"/>
      <c r="F438" s="6" t="n"/>
      <c r="Q438" s="5" t="n"/>
      <c r="S438" s="5" t="n"/>
    </row>
    <row r="439">
      <c r="A439" s="5" t="n"/>
      <c r="F439" s="6" t="n"/>
      <c r="Q439" s="5" t="n"/>
      <c r="S439" s="5" t="n"/>
    </row>
    <row r="440">
      <c r="A440" s="5" t="n"/>
      <c r="F440" s="6" t="n"/>
      <c r="Q440" s="5" t="n"/>
      <c r="S440" s="5" t="n"/>
    </row>
    <row r="441">
      <c r="A441" s="5" t="n"/>
      <c r="F441" s="6" t="n"/>
      <c r="Q441" s="5" t="n"/>
      <c r="S441" s="5" t="n"/>
    </row>
    <row r="442">
      <c r="A442" s="5" t="n"/>
      <c r="F442" s="6" t="n"/>
      <c r="Q442" s="5" t="n"/>
      <c r="S442" s="5" t="n"/>
    </row>
    <row r="443">
      <c r="A443" s="5" t="n"/>
      <c r="F443" s="6" t="n"/>
      <c r="Q443" s="5" t="n"/>
      <c r="S443" s="5" t="n"/>
    </row>
    <row r="444">
      <c r="A444" s="5" t="n"/>
      <c r="F444" s="6" t="n"/>
      <c r="Q444" s="5" t="n"/>
      <c r="S444" s="5" t="n"/>
    </row>
    <row r="445">
      <c r="A445" s="5" t="n"/>
      <c r="F445" s="6" t="n"/>
      <c r="Q445" s="5" t="n"/>
      <c r="S445" s="5" t="n"/>
    </row>
    <row r="446">
      <c r="A446" s="5" t="n"/>
      <c r="F446" s="6" t="n"/>
      <c r="Q446" s="5" t="n"/>
      <c r="S446" s="5" t="n"/>
    </row>
    <row r="447">
      <c r="A447" s="5" t="n"/>
      <c r="F447" s="6" t="n"/>
      <c r="Q447" s="5" t="n"/>
      <c r="S447" s="5" t="n"/>
    </row>
    <row r="448">
      <c r="A448" s="5" t="n"/>
      <c r="F448" s="6" t="n"/>
      <c r="Q448" s="5" t="n"/>
      <c r="S448" s="5" t="n"/>
    </row>
    <row r="449">
      <c r="A449" s="5" t="n"/>
      <c r="F449" s="6" t="n"/>
      <c r="Q449" s="5" t="n"/>
      <c r="S449" s="5" t="n"/>
    </row>
    <row r="450">
      <c r="A450" s="5" t="n"/>
      <c r="F450" s="6" t="n"/>
      <c r="Q450" s="5" t="n"/>
      <c r="S450" s="5" t="n"/>
    </row>
    <row r="451">
      <c r="A451" s="5" t="n"/>
      <c r="F451" s="6" t="n"/>
      <c r="Q451" s="5" t="n"/>
      <c r="S451" s="5" t="n"/>
    </row>
    <row r="452">
      <c r="A452" s="5" t="n"/>
      <c r="F452" s="6" t="n"/>
      <c r="Q452" s="5" t="n"/>
      <c r="S452" s="5" t="n"/>
    </row>
    <row r="453">
      <c r="A453" s="5" t="n"/>
      <c r="F453" s="6" t="n"/>
      <c r="Q453" s="5" t="n"/>
      <c r="S453" s="5" t="n"/>
    </row>
    <row r="454">
      <c r="A454" s="5" t="n"/>
      <c r="F454" s="6" t="n"/>
      <c r="Q454" s="5" t="n"/>
      <c r="S454" s="5" t="n"/>
    </row>
    <row r="455">
      <c r="A455" s="5" t="n"/>
      <c r="F455" s="6" t="n"/>
      <c r="Q455" s="5" t="n"/>
      <c r="S455" s="5" t="n"/>
    </row>
    <row r="456">
      <c r="A456" s="5" t="n"/>
      <c r="F456" s="6" t="n"/>
      <c r="Q456" s="5" t="n"/>
      <c r="S456" s="5" t="n"/>
    </row>
    <row r="457">
      <c r="A457" s="5" t="n"/>
      <c r="F457" s="6" t="n"/>
      <c r="Q457" s="5" t="n"/>
      <c r="S457" s="5" t="n"/>
    </row>
    <row r="458">
      <c r="A458" s="5" t="n"/>
      <c r="F458" s="6" t="n"/>
      <c r="Q458" s="5" t="n"/>
      <c r="S458" s="5" t="n"/>
    </row>
    <row r="459">
      <c r="A459" s="5" t="n"/>
      <c r="F459" s="6" t="n"/>
      <c r="Q459" s="5" t="n"/>
      <c r="S459" s="5" t="n"/>
    </row>
    <row r="460">
      <c r="A460" s="5" t="n"/>
      <c r="F460" s="6" t="n"/>
      <c r="Q460" s="5" t="n"/>
      <c r="S460" s="5" t="n"/>
    </row>
    <row r="461">
      <c r="A461" s="5" t="n"/>
      <c r="F461" s="6" t="n"/>
      <c r="Q461" s="5" t="n"/>
      <c r="S461" s="5" t="n"/>
    </row>
    <row r="462">
      <c r="A462" s="5" t="n"/>
      <c r="F462" s="6" t="n"/>
      <c r="Q462" s="5" t="n"/>
      <c r="S462" s="5" t="n"/>
    </row>
    <row r="463">
      <c r="A463" s="5" t="n"/>
      <c r="F463" s="6" t="n"/>
      <c r="Q463" s="5" t="n"/>
      <c r="S463" s="5" t="n"/>
    </row>
    <row r="464">
      <c r="A464" s="5" t="n"/>
      <c r="F464" s="6" t="n"/>
      <c r="Q464" s="5" t="n"/>
      <c r="S464" s="5" t="n"/>
    </row>
    <row r="465">
      <c r="A465" s="5" t="n"/>
      <c r="F465" s="6" t="n"/>
      <c r="Q465" s="5" t="n"/>
      <c r="S465" s="5" t="n"/>
    </row>
    <row r="466">
      <c r="A466" s="5" t="n"/>
      <c r="F466" s="6" t="n"/>
      <c r="Q466" s="5" t="n"/>
      <c r="S466" s="5" t="n"/>
    </row>
    <row r="467">
      <c r="A467" s="5" t="n"/>
      <c r="F467" s="6" t="n"/>
      <c r="Q467" s="5" t="n"/>
      <c r="S467" s="5" t="n"/>
    </row>
    <row r="468">
      <c r="A468" s="5" t="n"/>
      <c r="F468" s="6" t="n"/>
      <c r="Q468" s="5" t="n"/>
      <c r="S468" s="5" t="n"/>
    </row>
    <row r="469">
      <c r="A469" s="5" t="n"/>
      <c r="F469" s="6" t="n"/>
      <c r="Q469" s="5" t="n"/>
      <c r="S469" s="5" t="n"/>
    </row>
    <row r="470">
      <c r="A470" s="5" t="n"/>
      <c r="F470" s="6" t="n"/>
      <c r="Q470" s="5" t="n"/>
      <c r="S470" s="5" t="n"/>
    </row>
    <row r="471">
      <c r="A471" s="5" t="n"/>
      <c r="F471" s="6" t="n"/>
      <c r="Q471" s="5" t="n"/>
      <c r="S471" s="5" t="n"/>
    </row>
    <row r="472">
      <c r="A472" s="5" t="n"/>
      <c r="F472" s="6" t="n"/>
      <c r="Q472" s="5" t="n"/>
      <c r="S472" s="5" t="n"/>
    </row>
    <row r="473">
      <c r="A473" s="5" t="n"/>
      <c r="F473" s="6" t="n"/>
      <c r="Q473" s="5" t="n"/>
      <c r="S473" s="5" t="n"/>
    </row>
    <row r="474">
      <c r="A474" s="5" t="n"/>
      <c r="F474" s="6" t="n"/>
      <c r="Q474" s="5" t="n"/>
      <c r="S474" s="5" t="n"/>
    </row>
    <row r="475">
      <c r="A475" s="5" t="n"/>
      <c r="F475" s="6" t="n"/>
      <c r="Q475" s="5" t="n"/>
      <c r="S475" s="5" t="n"/>
    </row>
    <row r="476">
      <c r="A476" s="5" t="n"/>
      <c r="F476" s="6" t="n"/>
      <c r="Q476" s="5" t="n"/>
      <c r="S476" s="5" t="n"/>
    </row>
    <row r="477">
      <c r="A477" s="5" t="n"/>
      <c r="F477" s="6" t="n"/>
      <c r="Q477" s="5" t="n"/>
      <c r="S477" s="5" t="n"/>
    </row>
    <row r="478">
      <c r="A478" s="5" t="n"/>
      <c r="F478" s="6" t="n"/>
      <c r="Q478" s="5" t="n"/>
      <c r="S478" s="5" t="n"/>
    </row>
    <row r="479">
      <c r="A479" s="5" t="n"/>
      <c r="F479" s="6" t="n"/>
      <c r="Q479" s="5" t="n"/>
      <c r="S479" s="5" t="n"/>
    </row>
    <row r="480">
      <c r="A480" s="5" t="n"/>
      <c r="F480" s="6" t="n"/>
      <c r="Q480" s="5" t="n"/>
      <c r="S480" s="5" t="n"/>
    </row>
    <row r="481">
      <c r="A481" s="5" t="n"/>
      <c r="F481" s="6" t="n"/>
      <c r="Q481" s="5" t="n"/>
      <c r="S481" s="5" t="n"/>
    </row>
    <row r="482">
      <c r="A482" s="5" t="n"/>
      <c r="F482" s="6" t="n"/>
      <c r="Q482" s="5" t="n"/>
      <c r="S482" s="5" t="n"/>
    </row>
    <row r="483">
      <c r="A483" s="5" t="n"/>
      <c r="F483" s="6" t="n"/>
      <c r="Q483" s="5" t="n"/>
      <c r="S483" s="5" t="n"/>
    </row>
    <row r="484">
      <c r="A484" s="5" t="n"/>
      <c r="F484" s="6" t="n"/>
      <c r="Q484" s="5" t="n"/>
      <c r="S484" s="5" t="n"/>
    </row>
    <row r="485">
      <c r="A485" s="5" t="n"/>
      <c r="F485" s="6" t="n"/>
      <c r="Q485" s="5" t="n"/>
      <c r="S485" s="5" t="n"/>
    </row>
    <row r="486">
      <c r="A486" s="5" t="n"/>
      <c r="F486" s="6" t="n"/>
      <c r="Q486" s="5" t="n"/>
      <c r="S486" s="5" t="n"/>
    </row>
    <row r="487">
      <c r="A487" s="5" t="n"/>
      <c r="F487" s="6" t="n"/>
      <c r="Q487" s="5" t="n"/>
      <c r="S487" s="5" t="n"/>
    </row>
    <row r="488">
      <c r="A488" s="5" t="n"/>
      <c r="F488" s="6" t="n"/>
      <c r="Q488" s="5" t="n"/>
      <c r="S488" s="5" t="n"/>
    </row>
    <row r="489">
      <c r="A489" s="5" t="n"/>
      <c r="F489" s="6" t="n"/>
      <c r="Q489" s="5" t="n"/>
      <c r="S489" s="5" t="n"/>
    </row>
    <row r="490">
      <c r="A490" s="5" t="n"/>
      <c r="F490" s="6" t="n"/>
      <c r="Q490" s="5" t="n"/>
      <c r="S490" s="5" t="n"/>
    </row>
    <row r="491">
      <c r="A491" s="5" t="n"/>
      <c r="F491" s="6" t="n"/>
      <c r="Q491" s="5" t="n"/>
      <c r="S491" s="5" t="n"/>
    </row>
    <row r="492">
      <c r="A492" s="5" t="n"/>
      <c r="F492" s="6" t="n"/>
      <c r="Q492" s="5" t="n"/>
      <c r="S492" s="5" t="n"/>
    </row>
    <row r="493">
      <c r="A493" s="5" t="n"/>
      <c r="F493" s="6" t="n"/>
      <c r="Q493" s="5" t="n"/>
      <c r="S493" s="5" t="n"/>
    </row>
    <row r="494">
      <c r="A494" s="5" t="n"/>
      <c r="F494" s="6" t="n"/>
      <c r="Q494" s="5" t="n"/>
      <c r="S494" s="5" t="n"/>
    </row>
    <row r="495">
      <c r="A495" s="5" t="n"/>
      <c r="F495" s="6" t="n"/>
      <c r="Q495" s="5" t="n"/>
      <c r="S495" s="5" t="n"/>
    </row>
    <row r="496">
      <c r="A496" s="5" t="n"/>
      <c r="F496" s="6" t="n"/>
      <c r="Q496" s="5" t="n"/>
      <c r="S496" s="5" t="n"/>
    </row>
    <row r="497">
      <c r="A497" s="5" t="n"/>
      <c r="F497" s="6" t="n"/>
      <c r="Q497" s="5" t="n"/>
      <c r="S497" s="5" t="n"/>
    </row>
    <row r="498">
      <c r="A498" s="5" t="n"/>
      <c r="F498" s="6" t="n"/>
      <c r="Q498" s="5" t="n"/>
      <c r="S498" s="5" t="n"/>
    </row>
    <row r="499">
      <c r="A499" s="5" t="n"/>
      <c r="F499" s="6" t="n"/>
      <c r="Q499" s="5" t="n"/>
      <c r="S499" s="5" t="n"/>
    </row>
    <row r="500">
      <c r="A500" s="5" t="n"/>
      <c r="F500" s="6" t="n"/>
      <c r="Q500" s="5" t="n"/>
      <c r="S500" s="5" t="n"/>
    </row>
    <row r="501">
      <c r="A501" s="5" t="n"/>
      <c r="F501" s="6" t="n"/>
      <c r="Q501" s="5" t="n"/>
      <c r="S501" s="5" t="n"/>
    </row>
    <row r="502">
      <c r="A502" s="5" t="n"/>
      <c r="F502" s="6" t="n"/>
      <c r="Q502" s="5" t="n"/>
      <c r="S502" s="5" t="n"/>
    </row>
    <row r="503">
      <c r="A503" s="5" t="n"/>
      <c r="F503" s="6" t="n"/>
      <c r="Q503" s="5" t="n"/>
      <c r="S503" s="5" t="n"/>
    </row>
    <row r="504">
      <c r="A504" s="5" t="n"/>
      <c r="F504" s="6" t="n"/>
      <c r="Q504" s="5" t="n"/>
      <c r="S504" s="5" t="n"/>
    </row>
    <row r="505">
      <c r="A505" s="5" t="n"/>
      <c r="F505" s="6" t="n"/>
      <c r="Q505" s="5" t="n"/>
      <c r="S505" s="5" t="n"/>
    </row>
    <row r="506">
      <c r="A506" s="5" t="n"/>
      <c r="F506" s="6" t="n"/>
      <c r="Q506" s="5" t="n"/>
      <c r="S506" s="5" t="n"/>
    </row>
    <row r="507">
      <c r="A507" s="5" t="n"/>
      <c r="F507" s="6" t="n"/>
      <c r="Q507" s="5" t="n"/>
      <c r="S507" s="5" t="n"/>
    </row>
    <row r="508">
      <c r="A508" s="5" t="n"/>
      <c r="F508" s="6" t="n"/>
      <c r="Q508" s="5" t="n"/>
      <c r="S508" s="5" t="n"/>
    </row>
    <row r="509">
      <c r="A509" s="5" t="n"/>
      <c r="F509" s="6" t="n"/>
      <c r="Q509" s="5" t="n"/>
      <c r="S509" s="5" t="n"/>
    </row>
    <row r="510">
      <c r="A510" s="5" t="n"/>
      <c r="F510" s="6" t="n"/>
      <c r="Q510" s="5" t="n"/>
      <c r="S510" s="5" t="n"/>
    </row>
    <row r="511">
      <c r="A511" s="5" t="n"/>
      <c r="F511" s="6" t="n"/>
      <c r="Q511" s="5" t="n"/>
      <c r="S511" s="5" t="n"/>
    </row>
    <row r="512">
      <c r="A512" s="5" t="n"/>
      <c r="F512" s="6" t="n"/>
      <c r="Q512" s="5" t="n"/>
      <c r="S512" s="5" t="n"/>
    </row>
    <row r="513">
      <c r="A513" s="5" t="n"/>
      <c r="F513" s="6" t="n"/>
      <c r="Q513" s="5" t="n"/>
      <c r="S513" s="5" t="n"/>
    </row>
    <row r="514">
      <c r="A514" s="5" t="n"/>
      <c r="F514" s="6" t="n"/>
      <c r="Q514" s="5" t="n"/>
      <c r="S514" s="5" t="n"/>
    </row>
    <row r="515">
      <c r="A515" s="5" t="n"/>
      <c r="F515" s="6" t="n"/>
      <c r="Q515" s="5" t="n"/>
      <c r="S515" s="5" t="n"/>
    </row>
    <row r="516">
      <c r="A516" s="5" t="n"/>
      <c r="F516" s="6" t="n"/>
      <c r="Q516" s="5" t="n"/>
      <c r="S516" s="5" t="n"/>
    </row>
    <row r="517">
      <c r="A517" s="5" t="n"/>
      <c r="F517" s="6" t="n"/>
      <c r="Q517" s="5" t="n"/>
      <c r="S517" s="5" t="n"/>
    </row>
    <row r="518">
      <c r="A518" s="5" t="n"/>
      <c r="F518" s="6" t="n"/>
      <c r="Q518" s="5" t="n"/>
      <c r="S518" s="5" t="n"/>
    </row>
    <row r="519">
      <c r="A519" s="5" t="n"/>
      <c r="F519" s="6" t="n"/>
      <c r="Q519" s="5" t="n"/>
      <c r="S519" s="5" t="n"/>
    </row>
    <row r="520">
      <c r="A520" s="5" t="n"/>
      <c r="F520" s="6" t="n"/>
      <c r="Q520" s="5" t="n"/>
      <c r="S520" s="5" t="n"/>
    </row>
    <row r="521">
      <c r="A521" s="5" t="n"/>
      <c r="F521" s="6" t="n"/>
      <c r="Q521" s="5" t="n"/>
      <c r="S521" s="5" t="n"/>
    </row>
    <row r="522">
      <c r="A522" s="5" t="n"/>
      <c r="F522" s="6" t="n"/>
      <c r="Q522" s="5" t="n"/>
      <c r="S522" s="5" t="n"/>
    </row>
    <row r="523">
      <c r="A523" s="5" t="n"/>
      <c r="F523" s="6" t="n"/>
      <c r="Q523" s="5" t="n"/>
      <c r="S523" s="5" t="n"/>
    </row>
    <row r="524">
      <c r="A524" s="5" t="n"/>
      <c r="F524" s="6" t="n"/>
      <c r="Q524" s="5" t="n"/>
      <c r="S524" s="5" t="n"/>
    </row>
    <row r="525">
      <c r="A525" s="5" t="n"/>
      <c r="F525" s="6" t="n"/>
      <c r="Q525" s="5" t="n"/>
      <c r="S525" s="5" t="n"/>
    </row>
    <row r="526">
      <c r="A526" s="5" t="n"/>
      <c r="F526" s="6" t="n"/>
      <c r="Q526" s="5" t="n"/>
      <c r="S526" s="5" t="n"/>
    </row>
    <row r="527">
      <c r="A527" s="5" t="n"/>
      <c r="F527" s="6" t="n"/>
      <c r="Q527" s="5" t="n"/>
      <c r="S527" s="5" t="n"/>
    </row>
    <row r="528">
      <c r="A528" s="5" t="n"/>
      <c r="F528" s="6" t="n"/>
      <c r="Q528" s="5" t="n"/>
      <c r="S528" s="5" t="n"/>
    </row>
    <row r="529">
      <c r="A529" s="5" t="n"/>
      <c r="F529" s="6" t="n"/>
      <c r="Q529" s="5" t="n"/>
      <c r="S529" s="5" t="n"/>
    </row>
    <row r="530">
      <c r="A530" s="5" t="n"/>
      <c r="F530" s="6" t="n"/>
      <c r="Q530" s="5" t="n"/>
      <c r="S530" s="5" t="n"/>
    </row>
    <row r="531">
      <c r="A531" s="5" t="n"/>
      <c r="F531" s="6" t="n"/>
      <c r="Q531" s="5" t="n"/>
      <c r="S531" s="5" t="n"/>
    </row>
    <row r="532">
      <c r="A532" s="5" t="n"/>
      <c r="F532" s="6" t="n"/>
      <c r="Q532" s="5" t="n"/>
      <c r="S532" s="5" t="n"/>
    </row>
    <row r="533">
      <c r="A533" s="5" t="n"/>
      <c r="F533" s="6" t="n"/>
      <c r="Q533" s="5" t="n"/>
      <c r="S533" s="5" t="n"/>
    </row>
    <row r="534">
      <c r="A534" s="5" t="n"/>
      <c r="F534" s="6" t="n"/>
      <c r="Q534" s="5" t="n"/>
      <c r="S534" s="5" t="n"/>
    </row>
    <row r="535">
      <c r="A535" s="5" t="n"/>
      <c r="F535" s="6" t="n"/>
      <c r="Q535" s="5" t="n"/>
      <c r="S535" s="5" t="n"/>
    </row>
    <row r="536">
      <c r="A536" s="5" t="n"/>
      <c r="F536" s="6" t="n"/>
      <c r="Q536" s="5" t="n"/>
      <c r="S536" s="5" t="n"/>
    </row>
    <row r="537">
      <c r="A537" s="5" t="n"/>
      <c r="F537" s="6" t="n"/>
      <c r="Q537" s="5" t="n"/>
      <c r="S537" s="5" t="n"/>
    </row>
    <row r="538">
      <c r="A538" s="5" t="n"/>
      <c r="F538" s="6" t="n"/>
      <c r="Q538" s="5" t="n"/>
      <c r="S538" s="5" t="n"/>
    </row>
    <row r="539">
      <c r="A539" s="5" t="n"/>
      <c r="F539" s="6" t="n"/>
      <c r="Q539" s="5" t="n"/>
      <c r="S539" s="5" t="n"/>
    </row>
    <row r="540">
      <c r="A540" s="5" t="n"/>
      <c r="F540" s="6" t="n"/>
      <c r="Q540" s="5" t="n"/>
      <c r="S540" s="5" t="n"/>
    </row>
    <row r="541">
      <c r="A541" s="5" t="n"/>
      <c r="F541" s="6" t="n"/>
      <c r="Q541" s="5" t="n"/>
      <c r="S541" s="5" t="n"/>
    </row>
    <row r="542">
      <c r="A542" s="5" t="n"/>
      <c r="F542" s="6" t="n"/>
      <c r="Q542" s="5" t="n"/>
      <c r="S542" s="5" t="n"/>
    </row>
    <row r="543">
      <c r="A543" s="5" t="n"/>
      <c r="F543" s="6" t="n"/>
      <c r="Q543" s="5" t="n"/>
      <c r="S543" s="5" t="n"/>
    </row>
    <row r="544">
      <c r="A544" s="5" t="n"/>
      <c r="F544" s="6" t="n"/>
      <c r="Q544" s="5" t="n"/>
      <c r="S544" s="5" t="n"/>
    </row>
    <row r="545">
      <c r="A545" s="5" t="n"/>
      <c r="F545" s="6" t="n"/>
      <c r="Q545" s="5" t="n"/>
      <c r="S545" s="5" t="n"/>
    </row>
    <row r="546">
      <c r="A546" s="5" t="n"/>
      <c r="F546" s="6" t="n"/>
      <c r="Q546" s="5" t="n"/>
      <c r="S546" s="5" t="n"/>
    </row>
    <row r="547">
      <c r="A547" s="5" t="n"/>
      <c r="F547" s="6" t="n"/>
      <c r="Q547" s="5" t="n"/>
      <c r="S547" s="5" t="n"/>
    </row>
    <row r="548">
      <c r="A548" s="5" t="n"/>
      <c r="F548" s="6" t="n"/>
      <c r="Q548" s="5" t="n"/>
      <c r="S548" s="5" t="n"/>
    </row>
    <row r="549">
      <c r="A549" s="5" t="n"/>
      <c r="F549" s="6" t="n"/>
      <c r="Q549" s="5" t="n"/>
      <c r="S549" s="5" t="n"/>
    </row>
    <row r="550">
      <c r="A550" s="5" t="n"/>
      <c r="F550" s="6" t="n"/>
      <c r="Q550" s="5" t="n"/>
      <c r="S550" s="5" t="n"/>
    </row>
    <row r="551">
      <c r="A551" s="5" t="n"/>
      <c r="F551" s="6" t="n"/>
      <c r="Q551" s="5" t="n"/>
      <c r="S551" s="5" t="n"/>
    </row>
    <row r="552">
      <c r="A552" s="5" t="n"/>
      <c r="F552" s="6" t="n"/>
      <c r="Q552" s="5" t="n"/>
      <c r="S552" s="5" t="n"/>
    </row>
    <row r="553">
      <c r="A553" s="5" t="n"/>
      <c r="F553" s="6" t="n"/>
      <c r="Q553" s="5" t="n"/>
      <c r="S553" s="5" t="n"/>
    </row>
    <row r="554">
      <c r="A554" s="5" t="n"/>
      <c r="F554" s="6" t="n"/>
      <c r="Q554" s="5" t="n"/>
      <c r="S554" s="5" t="n"/>
    </row>
    <row r="555">
      <c r="A555" s="5" t="n"/>
      <c r="F555" s="6" t="n"/>
      <c r="Q555" s="5" t="n"/>
      <c r="S555" s="5" t="n"/>
    </row>
    <row r="556">
      <c r="A556" s="5" t="n"/>
      <c r="F556" s="6" t="n"/>
      <c r="Q556" s="5" t="n"/>
      <c r="S556" s="5" t="n"/>
    </row>
    <row r="557">
      <c r="A557" s="5" t="n"/>
      <c r="F557" s="6" t="n"/>
      <c r="Q557" s="5" t="n"/>
      <c r="S557" s="5" t="n"/>
    </row>
    <row r="558">
      <c r="A558" s="5" t="n"/>
      <c r="F558" s="6" t="n"/>
      <c r="Q558" s="5" t="n"/>
      <c r="S558" s="5" t="n"/>
    </row>
    <row r="559">
      <c r="A559" s="5" t="n"/>
      <c r="F559" s="6" t="n"/>
      <c r="Q559" s="5" t="n"/>
      <c r="S559" s="5" t="n"/>
    </row>
    <row r="560">
      <c r="A560" s="5" t="n"/>
      <c r="F560" s="6" t="n"/>
      <c r="Q560" s="5" t="n"/>
      <c r="S560" s="5" t="n"/>
    </row>
    <row r="561">
      <c r="A561" s="5" t="n"/>
      <c r="F561" s="6" t="n"/>
      <c r="Q561" s="5" t="n"/>
      <c r="S561" s="5" t="n"/>
    </row>
    <row r="562">
      <c r="A562" s="5" t="n"/>
      <c r="F562" s="6" t="n"/>
      <c r="Q562" s="5" t="n"/>
      <c r="S562" s="5" t="n"/>
    </row>
    <row r="563">
      <c r="A563" s="5" t="n"/>
      <c r="F563" s="6" t="n"/>
      <c r="Q563" s="5" t="n"/>
      <c r="S563" s="5" t="n"/>
    </row>
    <row r="564">
      <c r="A564" s="5" t="n"/>
      <c r="F564" s="6" t="n"/>
      <c r="Q564" s="5" t="n"/>
      <c r="S564" s="5" t="n"/>
    </row>
    <row r="565">
      <c r="A565" s="5" t="n"/>
      <c r="F565" s="6" t="n"/>
      <c r="Q565" s="5" t="n"/>
      <c r="S565" s="5" t="n"/>
    </row>
    <row r="566">
      <c r="A566" s="5" t="n"/>
      <c r="F566" s="6" t="n"/>
      <c r="Q566" s="5" t="n"/>
      <c r="S566" s="5" t="n"/>
    </row>
    <row r="567">
      <c r="A567" s="5" t="n"/>
      <c r="F567" s="6" t="n"/>
      <c r="Q567" s="5" t="n"/>
      <c r="S567" s="5" t="n"/>
    </row>
    <row r="568">
      <c r="A568" s="5" t="n"/>
      <c r="F568" s="6" t="n"/>
      <c r="Q568" s="5" t="n"/>
      <c r="S568" s="5" t="n"/>
    </row>
    <row r="569">
      <c r="A569" s="5" t="n"/>
      <c r="F569" s="6" t="n"/>
      <c r="Q569" s="5" t="n"/>
      <c r="S569" s="5" t="n"/>
    </row>
    <row r="570">
      <c r="A570" s="5" t="n"/>
      <c r="F570" s="6" t="n"/>
      <c r="Q570" s="5" t="n"/>
      <c r="S570" s="5" t="n"/>
    </row>
    <row r="571">
      <c r="A571" s="5" t="n"/>
      <c r="F571" s="6" t="n"/>
      <c r="Q571" s="5" t="n"/>
      <c r="S571" s="5" t="n"/>
    </row>
    <row r="572">
      <c r="A572" s="5" t="n"/>
      <c r="F572" s="6" t="n"/>
      <c r="Q572" s="5" t="n"/>
      <c r="S572" s="5" t="n"/>
    </row>
    <row r="573">
      <c r="A573" s="5" t="n"/>
      <c r="F573" s="6" t="n"/>
      <c r="Q573" s="5" t="n"/>
      <c r="S573" s="5" t="n"/>
    </row>
    <row r="574">
      <c r="A574" s="5" t="n"/>
      <c r="F574" s="6" t="n"/>
      <c r="Q574" s="5" t="n"/>
      <c r="S574" s="5" t="n"/>
    </row>
    <row r="575">
      <c r="A575" s="5" t="n"/>
      <c r="F575" s="6" t="n"/>
      <c r="Q575" s="5" t="n"/>
      <c r="S575" s="5" t="n"/>
    </row>
    <row r="576">
      <c r="A576" s="5" t="n"/>
      <c r="F576" s="6" t="n"/>
      <c r="Q576" s="5" t="n"/>
      <c r="S576" s="5" t="n"/>
    </row>
    <row r="577">
      <c r="A577" s="5" t="n"/>
      <c r="F577" s="6" t="n"/>
      <c r="Q577" s="5" t="n"/>
      <c r="S577" s="5" t="n"/>
    </row>
    <row r="578">
      <c r="A578" s="5" t="n"/>
      <c r="F578" s="6" t="n"/>
      <c r="Q578" s="5" t="n"/>
      <c r="S578" s="5" t="n"/>
    </row>
    <row r="579">
      <c r="A579" s="5" t="n"/>
      <c r="F579" s="6" t="n"/>
      <c r="Q579" s="5" t="n"/>
      <c r="S579" s="5" t="n"/>
    </row>
    <row r="580">
      <c r="A580" s="5" t="n"/>
      <c r="F580" s="6" t="n"/>
      <c r="Q580" s="5" t="n"/>
      <c r="S580" s="5" t="n"/>
    </row>
    <row r="581">
      <c r="A581" s="5" t="n"/>
      <c r="F581" s="6" t="n"/>
      <c r="Q581" s="5" t="n"/>
      <c r="S581" s="5" t="n"/>
    </row>
    <row r="582">
      <c r="A582" s="5" t="n"/>
      <c r="F582" s="6" t="n"/>
      <c r="Q582" s="5" t="n"/>
      <c r="S582" s="5" t="n"/>
    </row>
    <row r="583">
      <c r="A583" s="5" t="n"/>
      <c r="F583" s="6" t="n"/>
      <c r="Q583" s="5" t="n"/>
      <c r="S583" s="5" t="n"/>
    </row>
    <row r="584">
      <c r="A584" s="5" t="n"/>
      <c r="F584" s="6" t="n"/>
      <c r="Q584" s="5" t="n"/>
      <c r="S584" s="5" t="n"/>
    </row>
    <row r="585">
      <c r="A585" s="5" t="n"/>
      <c r="F585" s="6" t="n"/>
      <c r="Q585" s="5" t="n"/>
      <c r="S585" s="5" t="n"/>
    </row>
    <row r="586">
      <c r="A586" s="5" t="n"/>
      <c r="F586" s="6" t="n"/>
      <c r="Q586" s="5" t="n"/>
      <c r="S586" s="5" t="n"/>
    </row>
    <row r="587">
      <c r="A587" s="5" t="n"/>
      <c r="F587" s="6" t="n"/>
      <c r="Q587" s="5" t="n"/>
      <c r="S587" s="5" t="n"/>
    </row>
    <row r="588">
      <c r="A588" s="5" t="n"/>
      <c r="F588" s="6" t="n"/>
      <c r="Q588" s="5" t="n"/>
      <c r="S588" s="5" t="n"/>
    </row>
    <row r="589">
      <c r="A589" s="5" t="n"/>
      <c r="F589" s="6" t="n"/>
      <c r="Q589" s="5" t="n"/>
      <c r="S589" s="5" t="n"/>
    </row>
    <row r="590">
      <c r="A590" s="5" t="n"/>
      <c r="F590" s="6" t="n"/>
      <c r="Q590" s="5" t="n"/>
      <c r="S590" s="5" t="n"/>
    </row>
    <row r="591">
      <c r="A591" s="5" t="n"/>
      <c r="F591" s="6" t="n"/>
      <c r="Q591" s="5" t="n"/>
      <c r="S591" s="5" t="n"/>
    </row>
    <row r="592">
      <c r="A592" s="5" t="n"/>
      <c r="F592" s="6" t="n"/>
      <c r="Q592" s="5" t="n"/>
      <c r="S592" s="5" t="n"/>
    </row>
    <row r="593">
      <c r="A593" s="5" t="n"/>
      <c r="F593" s="6" t="n"/>
      <c r="Q593" s="5" t="n"/>
      <c r="S593" s="5" t="n"/>
    </row>
    <row r="594">
      <c r="A594" s="5" t="n"/>
      <c r="F594" s="6" t="n"/>
      <c r="Q594" s="5" t="n"/>
      <c r="S594" s="5" t="n"/>
    </row>
    <row r="595">
      <c r="A595" s="5" t="n"/>
      <c r="F595" s="6" t="n"/>
      <c r="Q595" s="5" t="n"/>
      <c r="S595" s="5" t="n"/>
    </row>
    <row r="596">
      <c r="A596" s="5" t="n"/>
      <c r="F596" s="6" t="n"/>
      <c r="Q596" s="5" t="n"/>
      <c r="S596" s="5" t="n"/>
    </row>
    <row r="597">
      <c r="A597" s="5" t="n"/>
      <c r="F597" s="6" t="n"/>
      <c r="Q597" s="5" t="n"/>
      <c r="S597" s="5" t="n"/>
    </row>
    <row r="598">
      <c r="A598" s="5" t="n"/>
      <c r="F598" s="6" t="n"/>
      <c r="Q598" s="5" t="n"/>
      <c r="S598" s="5" t="n"/>
    </row>
    <row r="599">
      <c r="A599" s="5" t="n"/>
      <c r="F599" s="6" t="n"/>
      <c r="Q599" s="5" t="n"/>
      <c r="S599" s="5" t="n"/>
    </row>
    <row r="600">
      <c r="A600" s="5" t="n"/>
      <c r="F600" s="6" t="n"/>
      <c r="Q600" s="5" t="n"/>
      <c r="S600" s="5" t="n"/>
    </row>
  </sheetData>
  <autoFilter ref="A1:V600"/>
  <conditionalFormatting sqref="A2:U600">
    <cfRule type="expression" priority="1" dxfId="1">
      <formula>$O2="8-KAYIT OLDU"</formula>
    </cfRule>
    <cfRule type="expression" priority="2" dxfId="2">
      <formula>OR($O2="9-Kaybedildi",$O2="10-Sonraki dönem")</formula>
    </cfRule>
    <cfRule type="expression" priority="3" dxfId="3">
      <formula>AND($O2="1-Yeni",$A2&lt;&gt;"",$A2&lt;TODAY()-1)</formula>
    </cfRule>
    <cfRule type="expression" priority="4" dxfId="4">
      <formula>AND($S2&lt;&gt;"",$S2&lt;=TODAY(),$O2&lt;&gt;"8-KAYIT OLDU",$O2&lt;&gt;"9-Kaybedildi",$O2&lt;&gt;"10-Sonraki dönem")</formula>
    </cfRule>
  </conditionalFormatting>
  <dataValidations count="4">
    <dataValidation sqref="O2:O600" showDropDown="0" showInputMessage="0" showErrorMessage="0" allowBlank="1" type="list">
      <formula1>"1-Yeni,2-Ulaşılamadı,3-Görüşüldü,4-Tanışmaya gelecek,5-Tanışmaya geldi,6-Gelmedi,7-Ödeme bekleniyor,8-KAYIT OLDU,9-Kaybedildi,10-Sonraki dönem"</formula1>
    </dataValidation>
    <dataValidation sqref="B2:B600" showDropDown="0" showInputMessage="0" showErrorMessage="0" allowBlank="1" type="list">
      <formula1>"Form,Instagram DM,WhatsApp,Telefon,Referans,Tanışma günü yerinde,Diğer"</formula1>
    </dataValidation>
    <dataValidation sqref="C2:C600" showDropDown="0" showInputMessage="0" showErrorMessage="0" allowBlank="1" type="list">
      <formula1>"Techne Musical Lab,Broadway Musical Dance,English Drama Lab,English Acting Praxis,English Drama Youth,The Auteur Lab,Kararsız"</formula1>
    </dataValidation>
    <dataValidation sqref="N2:N600" showDropDown="0" showInputMessage="0" showErrorMessage="0" allowBlank="1" type="list">
      <formula1>"Evet,Hayır"</formula1>
    </dataValidation>
  </dataValidations>
  <pageMargins left="0.75" right="0.75" top="1" bottom="1" header="0.5" footer="0.5"/>
</worksheet>
</file>

<file path=xl/worksheets/sheet5.xml><?xml version="1.0" encoding="utf-8"?>
<worksheet xmlns="http://schemas.openxmlformats.org/spreadsheetml/2006/main">
  <sheetPr>
    <tabColor rgb="001E88E5"/>
    <outlinePr summaryBelow="1" summaryRight="1"/>
    <pageSetUpPr/>
  </sheetPr>
  <dimension ref="A1:O30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0" customWidth="1" min="3" max="3"/>
    <col width="18" customWidth="1" min="4" max="4"/>
    <col width="13" customWidth="1" min="5" max="5"/>
    <col width="13" customWidth="1" min="6" max="6"/>
    <col width="13" customWidth="1" min="7" max="7"/>
    <col width="12" customWidth="1" min="8" max="8"/>
    <col width="14" customWidth="1" min="9" max="9"/>
    <col width="9" customWidth="1" min="10" max="10"/>
    <col width="14" customWidth="1" min="11" max="11"/>
    <col width="20" customWidth="1" min="12" max="12"/>
    <col width="12" customWidth="1" min="13" max="13"/>
    <col width="11" customWidth="1" min="14" max="14"/>
    <col width="34" customWidth="1" min="15" max="15"/>
  </cols>
  <sheetData>
    <row r="1" ht="28" customHeight="1">
      <c r="A1" s="1" t="inlineStr">
        <is>
          <t>Kayıt tarihi</t>
        </is>
      </c>
      <c r="B1" s="1" t="inlineStr">
        <is>
          <t>Ad Soyad</t>
        </is>
      </c>
      <c r="C1" s="1" t="inlineStr">
        <is>
          <t>Program</t>
        </is>
      </c>
      <c r="D1" s="1" t="inlineStr">
        <is>
          <t>Paket / dönem</t>
        </is>
      </c>
      <c r="E1" s="1" t="inlineStr">
        <is>
          <t>Liste fiyatı ₺</t>
        </is>
      </c>
      <c r="F1" s="1" t="inlineStr">
        <is>
          <t>İndirim / burs ₺</t>
        </is>
      </c>
      <c r="G1" s="1" t="inlineStr">
        <is>
          <t>Tahsil edilen ₺</t>
        </is>
      </c>
      <c r="H1" s="1" t="inlineStr">
        <is>
          <t>Kalan ₺</t>
        </is>
      </c>
      <c r="I1" s="1" t="inlineStr">
        <is>
          <t>Ödeme tipi</t>
        </is>
      </c>
      <c r="J1" s="1" t="inlineStr">
        <is>
          <t>Taksit sayısı</t>
        </is>
      </c>
      <c r="K1" s="1" t="inlineStr">
        <is>
          <t>Sonraki ödeme tarihi</t>
        </is>
      </c>
      <c r="L1" s="1" t="inlineStr">
        <is>
          <t>Kaynak</t>
        </is>
      </c>
      <c r="M1" s="1" t="inlineStr">
        <is>
          <t>Fatura / makbuz kesildi</t>
        </is>
      </c>
      <c r="N1" s="1" t="inlineStr">
        <is>
          <t>Belge klasörde</t>
        </is>
      </c>
      <c r="O1" s="1" t="inlineStr">
        <is>
          <t>Not</t>
        </is>
      </c>
    </row>
    <row r="2">
      <c r="A2" s="3" t="n"/>
      <c r="B2" s="2" t="n"/>
      <c r="C2" s="2" t="n"/>
      <c r="D2" s="2" t="n"/>
      <c r="E2" s="7" t="n"/>
      <c r="F2" s="7" t="n"/>
      <c r="G2" s="7" t="n"/>
      <c r="H2" s="7">
        <f>IF(E2="","",E2-F2-G2)</f>
        <v/>
      </c>
      <c r="I2" s="2" t="n"/>
      <c r="J2" s="2" t="n"/>
      <c r="K2" s="3" t="n"/>
      <c r="L2" s="2" t="n"/>
      <c r="M2" s="2" t="n"/>
      <c r="N2" s="2" t="n"/>
      <c r="O2" s="2" t="n"/>
    </row>
    <row r="3">
      <c r="A3" s="3" t="n"/>
      <c r="B3" s="2" t="n"/>
      <c r="C3" s="2" t="n"/>
      <c r="D3" s="2" t="n"/>
      <c r="E3" s="7" t="n"/>
      <c r="F3" s="7" t="n"/>
      <c r="G3" s="7" t="n"/>
      <c r="H3" s="7">
        <f>IF(E3="","",E3-F3-G3)</f>
        <v/>
      </c>
      <c r="I3" s="2" t="n"/>
      <c r="J3" s="2" t="n"/>
      <c r="K3" s="3" t="n"/>
      <c r="L3" s="2" t="n"/>
      <c r="M3" s="2" t="n"/>
      <c r="N3" s="2" t="n"/>
      <c r="O3" s="2" t="n"/>
    </row>
    <row r="4">
      <c r="A4" s="3" t="n"/>
      <c r="B4" s="2" t="n"/>
      <c r="C4" s="2" t="n"/>
      <c r="D4" s="2" t="n"/>
      <c r="E4" s="7" t="n"/>
      <c r="F4" s="7" t="n"/>
      <c r="G4" s="7" t="n"/>
      <c r="H4" s="7">
        <f>IF(E4="","",E4-F4-G4)</f>
        <v/>
      </c>
      <c r="I4" s="2" t="n"/>
      <c r="J4" s="2" t="n"/>
      <c r="K4" s="3" t="n"/>
      <c r="L4" s="2" t="n"/>
      <c r="M4" s="2" t="n"/>
      <c r="N4" s="2" t="n"/>
      <c r="O4" s="2" t="n"/>
    </row>
    <row r="5">
      <c r="A5" s="3" t="n"/>
      <c r="B5" s="2" t="n"/>
      <c r="C5" s="2" t="n"/>
      <c r="D5" s="2" t="n"/>
      <c r="E5" s="7" t="n"/>
      <c r="F5" s="7" t="n"/>
      <c r="G5" s="7" t="n"/>
      <c r="H5" s="7">
        <f>IF(E5="","",E5-F5-G5)</f>
        <v/>
      </c>
      <c r="I5" s="2" t="n"/>
      <c r="J5" s="2" t="n"/>
      <c r="K5" s="3" t="n"/>
      <c r="L5" s="2" t="n"/>
      <c r="M5" s="2" t="n"/>
      <c r="N5" s="2" t="n"/>
      <c r="O5" s="2" t="n"/>
    </row>
    <row r="6">
      <c r="A6" s="3" t="n"/>
      <c r="B6" s="2" t="n"/>
      <c r="C6" s="2" t="n"/>
      <c r="D6" s="2" t="n"/>
      <c r="E6" s="7" t="n"/>
      <c r="F6" s="7" t="n"/>
      <c r="G6" s="7" t="n"/>
      <c r="H6" s="7">
        <f>IF(E6="","",E6-F6-G6)</f>
        <v/>
      </c>
      <c r="I6" s="2" t="n"/>
      <c r="J6" s="2" t="n"/>
      <c r="K6" s="3" t="n"/>
      <c r="L6" s="2" t="n"/>
      <c r="M6" s="2" t="n"/>
      <c r="N6" s="2" t="n"/>
      <c r="O6" s="2" t="n"/>
    </row>
    <row r="7">
      <c r="A7" s="3" t="n"/>
      <c r="B7" s="2" t="n"/>
      <c r="C7" s="2" t="n"/>
      <c r="D7" s="2" t="n"/>
      <c r="E7" s="7" t="n"/>
      <c r="F7" s="7" t="n"/>
      <c r="G7" s="7" t="n"/>
      <c r="H7" s="7">
        <f>IF(E7="","",E7-F7-G7)</f>
        <v/>
      </c>
      <c r="I7" s="2" t="n"/>
      <c r="J7" s="2" t="n"/>
      <c r="K7" s="3" t="n"/>
      <c r="L7" s="2" t="n"/>
      <c r="M7" s="2" t="n"/>
      <c r="N7" s="2" t="n"/>
      <c r="O7" s="2" t="n"/>
    </row>
    <row r="8">
      <c r="A8" s="3" t="n"/>
      <c r="B8" s="2" t="n"/>
      <c r="C8" s="2" t="n"/>
      <c r="D8" s="2" t="n"/>
      <c r="E8" s="7" t="n"/>
      <c r="F8" s="7" t="n"/>
      <c r="G8" s="7" t="n"/>
      <c r="H8" s="7">
        <f>IF(E8="","",E8-F8-G8)</f>
        <v/>
      </c>
      <c r="I8" s="2" t="n"/>
      <c r="J8" s="2" t="n"/>
      <c r="K8" s="3" t="n"/>
      <c r="L8" s="2" t="n"/>
      <c r="M8" s="2" t="n"/>
      <c r="N8" s="2" t="n"/>
      <c r="O8" s="2" t="n"/>
    </row>
    <row r="9">
      <c r="A9" s="3" t="n"/>
      <c r="B9" s="2" t="n"/>
      <c r="C9" s="2" t="n"/>
      <c r="D9" s="2" t="n"/>
      <c r="E9" s="7" t="n"/>
      <c r="F9" s="7" t="n"/>
      <c r="G9" s="7" t="n"/>
      <c r="H9" s="7">
        <f>IF(E9="","",E9-F9-G9)</f>
        <v/>
      </c>
      <c r="I9" s="2" t="n"/>
      <c r="J9" s="2" t="n"/>
      <c r="K9" s="3" t="n"/>
      <c r="L9" s="2" t="n"/>
      <c r="M9" s="2" t="n"/>
      <c r="N9" s="2" t="n"/>
      <c r="O9" s="2" t="n"/>
    </row>
    <row r="10">
      <c r="A10" s="3" t="n"/>
      <c r="B10" s="2" t="n"/>
      <c r="C10" s="2" t="n"/>
      <c r="D10" s="2" t="n"/>
      <c r="E10" s="7" t="n"/>
      <c r="F10" s="7" t="n"/>
      <c r="G10" s="7" t="n"/>
      <c r="H10" s="7">
        <f>IF(E10="","",E10-F10-G10)</f>
        <v/>
      </c>
      <c r="I10" s="2" t="n"/>
      <c r="J10" s="2" t="n"/>
      <c r="K10" s="3" t="n"/>
      <c r="L10" s="2" t="n"/>
      <c r="M10" s="2" t="n"/>
      <c r="N10" s="2" t="n"/>
      <c r="O10" s="2" t="n"/>
    </row>
    <row r="11">
      <c r="A11" s="3" t="n"/>
      <c r="B11" s="2" t="n"/>
      <c r="C11" s="2" t="n"/>
      <c r="D11" s="2" t="n"/>
      <c r="E11" s="7" t="n"/>
      <c r="F11" s="7" t="n"/>
      <c r="G11" s="7" t="n"/>
      <c r="H11" s="7">
        <f>IF(E11="","",E11-F11-G11)</f>
        <v/>
      </c>
      <c r="I11" s="2" t="n"/>
      <c r="J11" s="2" t="n"/>
      <c r="K11" s="3" t="n"/>
      <c r="L11" s="2" t="n"/>
      <c r="M11" s="2" t="n"/>
      <c r="N11" s="2" t="n"/>
      <c r="O11" s="2" t="n"/>
    </row>
    <row r="12">
      <c r="A12" s="3" t="n"/>
      <c r="B12" s="2" t="n"/>
      <c r="C12" s="2" t="n"/>
      <c r="D12" s="2" t="n"/>
      <c r="E12" s="7" t="n"/>
      <c r="F12" s="7" t="n"/>
      <c r="G12" s="7" t="n"/>
      <c r="H12" s="7">
        <f>IF(E12="","",E12-F12-G12)</f>
        <v/>
      </c>
      <c r="I12" s="2" t="n"/>
      <c r="J12" s="2" t="n"/>
      <c r="K12" s="3" t="n"/>
      <c r="L12" s="2" t="n"/>
      <c r="M12" s="2" t="n"/>
      <c r="N12" s="2" t="n"/>
      <c r="O12" s="2" t="n"/>
    </row>
    <row r="13">
      <c r="A13" s="3" t="n"/>
      <c r="B13" s="2" t="n"/>
      <c r="C13" s="2" t="n"/>
      <c r="D13" s="2" t="n"/>
      <c r="E13" s="7" t="n"/>
      <c r="F13" s="7" t="n"/>
      <c r="G13" s="7" t="n"/>
      <c r="H13" s="7">
        <f>IF(E13="","",E13-F13-G13)</f>
        <v/>
      </c>
      <c r="I13" s="2" t="n"/>
      <c r="J13" s="2" t="n"/>
      <c r="K13" s="3" t="n"/>
      <c r="L13" s="2" t="n"/>
      <c r="M13" s="2" t="n"/>
      <c r="N13" s="2" t="n"/>
      <c r="O13" s="2" t="n"/>
    </row>
    <row r="14">
      <c r="A14" s="3" t="n"/>
      <c r="B14" s="2" t="n"/>
      <c r="C14" s="2" t="n"/>
      <c r="D14" s="2" t="n"/>
      <c r="E14" s="7" t="n"/>
      <c r="F14" s="7" t="n"/>
      <c r="G14" s="7" t="n"/>
      <c r="H14" s="7">
        <f>IF(E14="","",E14-F14-G14)</f>
        <v/>
      </c>
      <c r="I14" s="2" t="n"/>
      <c r="J14" s="2" t="n"/>
      <c r="K14" s="3" t="n"/>
      <c r="L14" s="2" t="n"/>
      <c r="M14" s="2" t="n"/>
      <c r="N14" s="2" t="n"/>
      <c r="O14" s="2" t="n"/>
    </row>
    <row r="15">
      <c r="A15" s="3" t="n"/>
      <c r="B15" s="2" t="n"/>
      <c r="C15" s="2" t="n"/>
      <c r="D15" s="2" t="n"/>
      <c r="E15" s="7" t="n"/>
      <c r="F15" s="7" t="n"/>
      <c r="G15" s="7" t="n"/>
      <c r="H15" s="7">
        <f>IF(E15="","",E15-F15-G15)</f>
        <v/>
      </c>
      <c r="I15" s="2" t="n"/>
      <c r="J15" s="2" t="n"/>
      <c r="K15" s="3" t="n"/>
      <c r="L15" s="2" t="n"/>
      <c r="M15" s="2" t="n"/>
      <c r="N15" s="2" t="n"/>
      <c r="O15" s="2" t="n"/>
    </row>
    <row r="16">
      <c r="A16" s="3" t="n"/>
      <c r="B16" s="2" t="n"/>
      <c r="C16" s="2" t="n"/>
      <c r="D16" s="2" t="n"/>
      <c r="E16" s="7" t="n"/>
      <c r="F16" s="7" t="n"/>
      <c r="G16" s="7" t="n"/>
      <c r="H16" s="7">
        <f>IF(E16="","",E16-F16-G16)</f>
        <v/>
      </c>
      <c r="I16" s="2" t="n"/>
      <c r="J16" s="2" t="n"/>
      <c r="K16" s="3" t="n"/>
      <c r="L16" s="2" t="n"/>
      <c r="M16" s="2" t="n"/>
      <c r="N16" s="2" t="n"/>
      <c r="O16" s="2" t="n"/>
    </row>
    <row r="17">
      <c r="A17" s="3" t="n"/>
      <c r="B17" s="2" t="n"/>
      <c r="C17" s="2" t="n"/>
      <c r="D17" s="2" t="n"/>
      <c r="E17" s="7" t="n"/>
      <c r="F17" s="7" t="n"/>
      <c r="G17" s="7" t="n"/>
      <c r="H17" s="7">
        <f>IF(E17="","",E17-F17-G17)</f>
        <v/>
      </c>
      <c r="I17" s="2" t="n"/>
      <c r="J17" s="2" t="n"/>
      <c r="K17" s="3" t="n"/>
      <c r="L17" s="2" t="n"/>
      <c r="M17" s="2" t="n"/>
      <c r="N17" s="2" t="n"/>
      <c r="O17" s="2" t="n"/>
    </row>
    <row r="18">
      <c r="A18" s="3" t="n"/>
      <c r="B18" s="2" t="n"/>
      <c r="C18" s="2" t="n"/>
      <c r="D18" s="2" t="n"/>
      <c r="E18" s="7" t="n"/>
      <c r="F18" s="7" t="n"/>
      <c r="G18" s="7" t="n"/>
      <c r="H18" s="7">
        <f>IF(E18="","",E18-F18-G18)</f>
        <v/>
      </c>
      <c r="I18" s="2" t="n"/>
      <c r="J18" s="2" t="n"/>
      <c r="K18" s="3" t="n"/>
      <c r="L18" s="2" t="n"/>
      <c r="M18" s="2" t="n"/>
      <c r="N18" s="2" t="n"/>
      <c r="O18" s="2" t="n"/>
    </row>
    <row r="19">
      <c r="A19" s="3" t="n"/>
      <c r="B19" s="2" t="n"/>
      <c r="C19" s="2" t="n"/>
      <c r="D19" s="2" t="n"/>
      <c r="E19" s="7" t="n"/>
      <c r="F19" s="7" t="n"/>
      <c r="G19" s="7" t="n"/>
      <c r="H19" s="7">
        <f>IF(E19="","",E19-F19-G19)</f>
        <v/>
      </c>
      <c r="I19" s="2" t="n"/>
      <c r="J19" s="2" t="n"/>
      <c r="K19" s="3" t="n"/>
      <c r="L19" s="2" t="n"/>
      <c r="M19" s="2" t="n"/>
      <c r="N19" s="2" t="n"/>
      <c r="O19" s="2" t="n"/>
    </row>
    <row r="20">
      <c r="A20" s="3" t="n"/>
      <c r="B20" s="2" t="n"/>
      <c r="C20" s="2" t="n"/>
      <c r="D20" s="2" t="n"/>
      <c r="E20" s="7" t="n"/>
      <c r="F20" s="7" t="n"/>
      <c r="G20" s="7" t="n"/>
      <c r="H20" s="7">
        <f>IF(E20="","",E20-F20-G20)</f>
        <v/>
      </c>
      <c r="I20" s="2" t="n"/>
      <c r="J20" s="2" t="n"/>
      <c r="K20" s="3" t="n"/>
      <c r="L20" s="2" t="n"/>
      <c r="M20" s="2" t="n"/>
      <c r="N20" s="2" t="n"/>
      <c r="O20" s="2" t="n"/>
    </row>
    <row r="21">
      <c r="A21" s="3" t="n"/>
      <c r="B21" s="2" t="n"/>
      <c r="C21" s="2" t="n"/>
      <c r="D21" s="2" t="n"/>
      <c r="E21" s="7" t="n"/>
      <c r="F21" s="7" t="n"/>
      <c r="G21" s="7" t="n"/>
      <c r="H21" s="7">
        <f>IF(E21="","",E21-F21-G21)</f>
        <v/>
      </c>
      <c r="I21" s="2" t="n"/>
      <c r="J21" s="2" t="n"/>
      <c r="K21" s="3" t="n"/>
      <c r="L21" s="2" t="n"/>
      <c r="M21" s="2" t="n"/>
      <c r="N21" s="2" t="n"/>
      <c r="O21" s="2" t="n"/>
    </row>
    <row r="22">
      <c r="A22" s="3" t="n"/>
      <c r="B22" s="2" t="n"/>
      <c r="C22" s="2" t="n"/>
      <c r="D22" s="2" t="n"/>
      <c r="E22" s="7" t="n"/>
      <c r="F22" s="7" t="n"/>
      <c r="G22" s="7" t="n"/>
      <c r="H22" s="7">
        <f>IF(E22="","",E22-F22-G22)</f>
        <v/>
      </c>
      <c r="I22" s="2" t="n"/>
      <c r="J22" s="2" t="n"/>
      <c r="K22" s="3" t="n"/>
      <c r="L22" s="2" t="n"/>
      <c r="M22" s="2" t="n"/>
      <c r="N22" s="2" t="n"/>
      <c r="O22" s="2" t="n"/>
    </row>
    <row r="23">
      <c r="A23" s="3" t="n"/>
      <c r="B23" s="2" t="n"/>
      <c r="C23" s="2" t="n"/>
      <c r="D23" s="2" t="n"/>
      <c r="E23" s="7" t="n"/>
      <c r="F23" s="7" t="n"/>
      <c r="G23" s="7" t="n"/>
      <c r="H23" s="7">
        <f>IF(E23="","",E23-F23-G23)</f>
        <v/>
      </c>
      <c r="I23" s="2" t="n"/>
      <c r="J23" s="2" t="n"/>
      <c r="K23" s="3" t="n"/>
      <c r="L23" s="2" t="n"/>
      <c r="M23" s="2" t="n"/>
      <c r="N23" s="2" t="n"/>
      <c r="O23" s="2" t="n"/>
    </row>
    <row r="24">
      <c r="A24" s="3" t="n"/>
      <c r="B24" s="2" t="n"/>
      <c r="C24" s="2" t="n"/>
      <c r="D24" s="2" t="n"/>
      <c r="E24" s="7" t="n"/>
      <c r="F24" s="7" t="n"/>
      <c r="G24" s="7" t="n"/>
      <c r="H24" s="7">
        <f>IF(E24="","",E24-F24-G24)</f>
        <v/>
      </c>
      <c r="I24" s="2" t="n"/>
      <c r="J24" s="2" t="n"/>
      <c r="K24" s="3" t="n"/>
      <c r="L24" s="2" t="n"/>
      <c r="M24" s="2" t="n"/>
      <c r="N24" s="2" t="n"/>
      <c r="O24" s="2" t="n"/>
    </row>
    <row r="25">
      <c r="A25" s="3" t="n"/>
      <c r="B25" s="2" t="n"/>
      <c r="C25" s="2" t="n"/>
      <c r="D25" s="2" t="n"/>
      <c r="E25" s="7" t="n"/>
      <c r="F25" s="7" t="n"/>
      <c r="G25" s="7" t="n"/>
      <c r="H25" s="7">
        <f>IF(E25="","",E25-F25-G25)</f>
        <v/>
      </c>
      <c r="I25" s="2" t="n"/>
      <c r="J25" s="2" t="n"/>
      <c r="K25" s="3" t="n"/>
      <c r="L25" s="2" t="n"/>
      <c r="M25" s="2" t="n"/>
      <c r="N25" s="2" t="n"/>
      <c r="O25" s="2" t="n"/>
    </row>
    <row r="26">
      <c r="A26" s="3" t="n"/>
      <c r="B26" s="2" t="n"/>
      <c r="C26" s="2" t="n"/>
      <c r="D26" s="2" t="n"/>
      <c r="E26" s="7" t="n"/>
      <c r="F26" s="7" t="n"/>
      <c r="G26" s="7" t="n"/>
      <c r="H26" s="7">
        <f>IF(E26="","",E26-F26-G26)</f>
        <v/>
      </c>
      <c r="I26" s="2" t="n"/>
      <c r="J26" s="2" t="n"/>
      <c r="K26" s="3" t="n"/>
      <c r="L26" s="2" t="n"/>
      <c r="M26" s="2" t="n"/>
      <c r="N26" s="2" t="n"/>
      <c r="O26" s="2" t="n"/>
    </row>
    <row r="27">
      <c r="A27" s="3" t="n"/>
      <c r="B27" s="2" t="n"/>
      <c r="C27" s="2" t="n"/>
      <c r="D27" s="2" t="n"/>
      <c r="E27" s="7" t="n"/>
      <c r="F27" s="7" t="n"/>
      <c r="G27" s="7" t="n"/>
      <c r="H27" s="7">
        <f>IF(E27="","",E27-F27-G27)</f>
        <v/>
      </c>
      <c r="I27" s="2" t="n"/>
      <c r="J27" s="2" t="n"/>
      <c r="K27" s="3" t="n"/>
      <c r="L27" s="2" t="n"/>
      <c r="M27" s="2" t="n"/>
      <c r="N27" s="2" t="n"/>
      <c r="O27" s="2" t="n"/>
    </row>
    <row r="28">
      <c r="A28" s="3" t="n"/>
      <c r="B28" s="2" t="n"/>
      <c r="C28" s="2" t="n"/>
      <c r="D28" s="2" t="n"/>
      <c r="E28" s="7" t="n"/>
      <c r="F28" s="7" t="n"/>
      <c r="G28" s="7" t="n"/>
      <c r="H28" s="7">
        <f>IF(E28="","",E28-F28-G28)</f>
        <v/>
      </c>
      <c r="I28" s="2" t="n"/>
      <c r="J28" s="2" t="n"/>
      <c r="K28" s="3" t="n"/>
      <c r="L28" s="2" t="n"/>
      <c r="M28" s="2" t="n"/>
      <c r="N28" s="2" t="n"/>
      <c r="O28" s="2" t="n"/>
    </row>
    <row r="29">
      <c r="A29" s="3" t="n"/>
      <c r="B29" s="2" t="n"/>
      <c r="C29" s="2" t="n"/>
      <c r="D29" s="2" t="n"/>
      <c r="E29" s="7" t="n"/>
      <c r="F29" s="7" t="n"/>
      <c r="G29" s="7" t="n"/>
      <c r="H29" s="7">
        <f>IF(E29="","",E29-F29-G29)</f>
        <v/>
      </c>
      <c r="I29" s="2" t="n"/>
      <c r="J29" s="2" t="n"/>
      <c r="K29" s="3" t="n"/>
      <c r="L29" s="2" t="n"/>
      <c r="M29" s="2" t="n"/>
      <c r="N29" s="2" t="n"/>
      <c r="O29" s="2" t="n"/>
    </row>
    <row r="30">
      <c r="A30" s="3" t="n"/>
      <c r="B30" s="2" t="n"/>
      <c r="C30" s="2" t="n"/>
      <c r="D30" s="2" t="n"/>
      <c r="E30" s="7" t="n"/>
      <c r="F30" s="7" t="n"/>
      <c r="G30" s="7" t="n"/>
      <c r="H30" s="7">
        <f>IF(E30="","",E30-F30-G30)</f>
        <v/>
      </c>
      <c r="I30" s="2" t="n"/>
      <c r="J30" s="2" t="n"/>
      <c r="K30" s="3" t="n"/>
      <c r="L30" s="2" t="n"/>
      <c r="M30" s="2" t="n"/>
      <c r="N30" s="2" t="n"/>
      <c r="O30" s="2" t="n"/>
    </row>
    <row r="31">
      <c r="A31" s="3" t="n"/>
      <c r="B31" s="2" t="n"/>
      <c r="C31" s="2" t="n"/>
      <c r="D31" s="2" t="n"/>
      <c r="E31" s="7" t="n"/>
      <c r="F31" s="7" t="n"/>
      <c r="G31" s="7" t="n"/>
      <c r="H31" s="7">
        <f>IF(E31="","",E31-F31-G31)</f>
        <v/>
      </c>
      <c r="I31" s="2" t="n"/>
      <c r="J31" s="2" t="n"/>
      <c r="K31" s="3" t="n"/>
      <c r="L31" s="2" t="n"/>
      <c r="M31" s="2" t="n"/>
      <c r="N31" s="2" t="n"/>
      <c r="O31" s="2" t="n"/>
    </row>
    <row r="32">
      <c r="A32" s="3" t="n"/>
      <c r="B32" s="2" t="n"/>
      <c r="C32" s="2" t="n"/>
      <c r="D32" s="2" t="n"/>
      <c r="E32" s="7" t="n"/>
      <c r="F32" s="7" t="n"/>
      <c r="G32" s="7" t="n"/>
      <c r="H32" s="7">
        <f>IF(E32="","",E32-F32-G32)</f>
        <v/>
      </c>
      <c r="I32" s="2" t="n"/>
      <c r="J32" s="2" t="n"/>
      <c r="K32" s="3" t="n"/>
      <c r="L32" s="2" t="n"/>
      <c r="M32" s="2" t="n"/>
      <c r="N32" s="2" t="n"/>
      <c r="O32" s="2" t="n"/>
    </row>
    <row r="33">
      <c r="A33" s="3" t="n"/>
      <c r="B33" s="2" t="n"/>
      <c r="C33" s="2" t="n"/>
      <c r="D33" s="2" t="n"/>
      <c r="E33" s="7" t="n"/>
      <c r="F33" s="7" t="n"/>
      <c r="G33" s="7" t="n"/>
      <c r="H33" s="7">
        <f>IF(E33="","",E33-F33-G33)</f>
        <v/>
      </c>
      <c r="I33" s="2" t="n"/>
      <c r="J33" s="2" t="n"/>
      <c r="K33" s="3" t="n"/>
      <c r="L33" s="2" t="n"/>
      <c r="M33" s="2" t="n"/>
      <c r="N33" s="2" t="n"/>
      <c r="O33" s="2" t="n"/>
    </row>
    <row r="34">
      <c r="A34" s="3" t="n"/>
      <c r="B34" s="2" t="n"/>
      <c r="C34" s="2" t="n"/>
      <c r="D34" s="2" t="n"/>
      <c r="E34" s="7" t="n"/>
      <c r="F34" s="7" t="n"/>
      <c r="G34" s="7" t="n"/>
      <c r="H34" s="7">
        <f>IF(E34="","",E34-F34-G34)</f>
        <v/>
      </c>
      <c r="I34" s="2" t="n"/>
      <c r="J34" s="2" t="n"/>
      <c r="K34" s="3" t="n"/>
      <c r="L34" s="2" t="n"/>
      <c r="M34" s="2" t="n"/>
      <c r="N34" s="2" t="n"/>
      <c r="O34" s="2" t="n"/>
    </row>
    <row r="35">
      <c r="A35" s="3" t="n"/>
      <c r="B35" s="2" t="n"/>
      <c r="C35" s="2" t="n"/>
      <c r="D35" s="2" t="n"/>
      <c r="E35" s="7" t="n"/>
      <c r="F35" s="7" t="n"/>
      <c r="G35" s="7" t="n"/>
      <c r="H35" s="7">
        <f>IF(E35="","",E35-F35-G35)</f>
        <v/>
      </c>
      <c r="I35" s="2" t="n"/>
      <c r="J35" s="2" t="n"/>
      <c r="K35" s="3" t="n"/>
      <c r="L35" s="2" t="n"/>
      <c r="M35" s="2" t="n"/>
      <c r="N35" s="2" t="n"/>
      <c r="O35" s="2" t="n"/>
    </row>
    <row r="36">
      <c r="A36" s="3" t="n"/>
      <c r="B36" s="2" t="n"/>
      <c r="C36" s="2" t="n"/>
      <c r="D36" s="2" t="n"/>
      <c r="E36" s="7" t="n"/>
      <c r="F36" s="7" t="n"/>
      <c r="G36" s="7" t="n"/>
      <c r="H36" s="7">
        <f>IF(E36="","",E36-F36-G36)</f>
        <v/>
      </c>
      <c r="I36" s="2" t="n"/>
      <c r="J36" s="2" t="n"/>
      <c r="K36" s="3" t="n"/>
      <c r="L36" s="2" t="n"/>
      <c r="M36" s="2" t="n"/>
      <c r="N36" s="2" t="n"/>
      <c r="O36" s="2" t="n"/>
    </row>
    <row r="37">
      <c r="A37" s="3" t="n"/>
      <c r="B37" s="2" t="n"/>
      <c r="C37" s="2" t="n"/>
      <c r="D37" s="2" t="n"/>
      <c r="E37" s="7" t="n"/>
      <c r="F37" s="7" t="n"/>
      <c r="G37" s="7" t="n"/>
      <c r="H37" s="7">
        <f>IF(E37="","",E37-F37-G37)</f>
        <v/>
      </c>
      <c r="I37" s="2" t="n"/>
      <c r="J37" s="2" t="n"/>
      <c r="K37" s="3" t="n"/>
      <c r="L37" s="2" t="n"/>
      <c r="M37" s="2" t="n"/>
      <c r="N37" s="2" t="n"/>
      <c r="O37" s="2" t="n"/>
    </row>
    <row r="38">
      <c r="A38" s="3" t="n"/>
      <c r="B38" s="2" t="n"/>
      <c r="C38" s="2" t="n"/>
      <c r="D38" s="2" t="n"/>
      <c r="E38" s="7" t="n"/>
      <c r="F38" s="7" t="n"/>
      <c r="G38" s="7" t="n"/>
      <c r="H38" s="7">
        <f>IF(E38="","",E38-F38-G38)</f>
        <v/>
      </c>
      <c r="I38" s="2" t="n"/>
      <c r="J38" s="2" t="n"/>
      <c r="K38" s="3" t="n"/>
      <c r="L38" s="2" t="n"/>
      <c r="M38" s="2" t="n"/>
      <c r="N38" s="2" t="n"/>
      <c r="O38" s="2" t="n"/>
    </row>
    <row r="39">
      <c r="A39" s="3" t="n"/>
      <c r="B39" s="2" t="n"/>
      <c r="C39" s="2" t="n"/>
      <c r="D39" s="2" t="n"/>
      <c r="E39" s="7" t="n"/>
      <c r="F39" s="7" t="n"/>
      <c r="G39" s="7" t="n"/>
      <c r="H39" s="7">
        <f>IF(E39="","",E39-F39-G39)</f>
        <v/>
      </c>
      <c r="I39" s="2" t="n"/>
      <c r="J39" s="2" t="n"/>
      <c r="K39" s="3" t="n"/>
      <c r="L39" s="2" t="n"/>
      <c r="M39" s="2" t="n"/>
      <c r="N39" s="2" t="n"/>
      <c r="O39" s="2" t="n"/>
    </row>
    <row r="40">
      <c r="A40" s="3" t="n"/>
      <c r="B40" s="2" t="n"/>
      <c r="C40" s="2" t="n"/>
      <c r="D40" s="2" t="n"/>
      <c r="E40" s="7" t="n"/>
      <c r="F40" s="7" t="n"/>
      <c r="G40" s="7" t="n"/>
      <c r="H40" s="7">
        <f>IF(E40="","",E40-F40-G40)</f>
        <v/>
      </c>
      <c r="I40" s="2" t="n"/>
      <c r="J40" s="2" t="n"/>
      <c r="K40" s="3" t="n"/>
      <c r="L40" s="2" t="n"/>
      <c r="M40" s="2" t="n"/>
      <c r="N40" s="2" t="n"/>
      <c r="O40" s="2" t="n"/>
    </row>
    <row r="41">
      <c r="A41" s="3" t="n"/>
      <c r="B41" s="2" t="n"/>
      <c r="C41" s="2" t="n"/>
      <c r="D41" s="2" t="n"/>
      <c r="E41" s="7" t="n"/>
      <c r="F41" s="7" t="n"/>
      <c r="G41" s="7" t="n"/>
      <c r="H41" s="7">
        <f>IF(E41="","",E41-F41-G41)</f>
        <v/>
      </c>
      <c r="I41" s="2" t="n"/>
      <c r="J41" s="2" t="n"/>
      <c r="K41" s="3" t="n"/>
      <c r="L41" s="2" t="n"/>
      <c r="M41" s="2" t="n"/>
      <c r="N41" s="2" t="n"/>
      <c r="O41" s="2" t="n"/>
    </row>
    <row r="42">
      <c r="A42" s="3" t="n"/>
      <c r="B42" s="2" t="n"/>
      <c r="C42" s="2" t="n"/>
      <c r="D42" s="2" t="n"/>
      <c r="E42" s="7" t="n"/>
      <c r="F42" s="7" t="n"/>
      <c r="G42" s="7" t="n"/>
      <c r="H42" s="7">
        <f>IF(E42="","",E42-F42-G42)</f>
        <v/>
      </c>
      <c r="I42" s="2" t="n"/>
      <c r="J42" s="2" t="n"/>
      <c r="K42" s="3" t="n"/>
      <c r="L42" s="2" t="n"/>
      <c r="M42" s="2" t="n"/>
      <c r="N42" s="2" t="n"/>
      <c r="O42" s="2" t="n"/>
    </row>
    <row r="43">
      <c r="A43" s="3" t="n"/>
      <c r="B43" s="2" t="n"/>
      <c r="C43" s="2" t="n"/>
      <c r="D43" s="2" t="n"/>
      <c r="E43" s="7" t="n"/>
      <c r="F43" s="7" t="n"/>
      <c r="G43" s="7" t="n"/>
      <c r="H43" s="7">
        <f>IF(E43="","",E43-F43-G43)</f>
        <v/>
      </c>
      <c r="I43" s="2" t="n"/>
      <c r="J43" s="2" t="n"/>
      <c r="K43" s="3" t="n"/>
      <c r="L43" s="2" t="n"/>
      <c r="M43" s="2" t="n"/>
      <c r="N43" s="2" t="n"/>
      <c r="O43" s="2" t="n"/>
    </row>
    <row r="44">
      <c r="A44" s="3" t="n"/>
      <c r="B44" s="2" t="n"/>
      <c r="C44" s="2" t="n"/>
      <c r="D44" s="2" t="n"/>
      <c r="E44" s="7" t="n"/>
      <c r="F44" s="7" t="n"/>
      <c r="G44" s="7" t="n"/>
      <c r="H44" s="7">
        <f>IF(E44="","",E44-F44-G44)</f>
        <v/>
      </c>
      <c r="I44" s="2" t="n"/>
      <c r="J44" s="2" t="n"/>
      <c r="K44" s="3" t="n"/>
      <c r="L44" s="2" t="n"/>
      <c r="M44" s="2" t="n"/>
      <c r="N44" s="2" t="n"/>
      <c r="O44" s="2" t="n"/>
    </row>
    <row r="45">
      <c r="A45" s="3" t="n"/>
      <c r="B45" s="2" t="n"/>
      <c r="C45" s="2" t="n"/>
      <c r="D45" s="2" t="n"/>
      <c r="E45" s="7" t="n"/>
      <c r="F45" s="7" t="n"/>
      <c r="G45" s="7" t="n"/>
      <c r="H45" s="7">
        <f>IF(E45="","",E45-F45-G45)</f>
        <v/>
      </c>
      <c r="I45" s="2" t="n"/>
      <c r="J45" s="2" t="n"/>
      <c r="K45" s="3" t="n"/>
      <c r="L45" s="2" t="n"/>
      <c r="M45" s="2" t="n"/>
      <c r="N45" s="2" t="n"/>
      <c r="O45" s="2" t="n"/>
    </row>
    <row r="46">
      <c r="A46" s="3" t="n"/>
      <c r="B46" s="2" t="n"/>
      <c r="C46" s="2" t="n"/>
      <c r="D46" s="2" t="n"/>
      <c r="E46" s="7" t="n"/>
      <c r="F46" s="7" t="n"/>
      <c r="G46" s="7" t="n"/>
      <c r="H46" s="7">
        <f>IF(E46="","",E46-F46-G46)</f>
        <v/>
      </c>
      <c r="I46" s="2" t="n"/>
      <c r="J46" s="2" t="n"/>
      <c r="K46" s="3" t="n"/>
      <c r="L46" s="2" t="n"/>
      <c r="M46" s="2" t="n"/>
      <c r="N46" s="2" t="n"/>
      <c r="O46" s="2" t="n"/>
    </row>
    <row r="47">
      <c r="A47" s="3" t="n"/>
      <c r="B47" s="2" t="n"/>
      <c r="C47" s="2" t="n"/>
      <c r="D47" s="2" t="n"/>
      <c r="E47" s="7" t="n"/>
      <c r="F47" s="7" t="n"/>
      <c r="G47" s="7" t="n"/>
      <c r="H47" s="7">
        <f>IF(E47="","",E47-F47-G47)</f>
        <v/>
      </c>
      <c r="I47" s="2" t="n"/>
      <c r="J47" s="2" t="n"/>
      <c r="K47" s="3" t="n"/>
      <c r="L47" s="2" t="n"/>
      <c r="M47" s="2" t="n"/>
      <c r="N47" s="2" t="n"/>
      <c r="O47" s="2" t="n"/>
    </row>
    <row r="48">
      <c r="A48" s="3" t="n"/>
      <c r="B48" s="2" t="n"/>
      <c r="C48" s="2" t="n"/>
      <c r="D48" s="2" t="n"/>
      <c r="E48" s="7" t="n"/>
      <c r="F48" s="7" t="n"/>
      <c r="G48" s="7" t="n"/>
      <c r="H48" s="7">
        <f>IF(E48="","",E48-F48-G48)</f>
        <v/>
      </c>
      <c r="I48" s="2" t="n"/>
      <c r="J48" s="2" t="n"/>
      <c r="K48" s="3" t="n"/>
      <c r="L48" s="2" t="n"/>
      <c r="M48" s="2" t="n"/>
      <c r="N48" s="2" t="n"/>
      <c r="O48" s="2" t="n"/>
    </row>
    <row r="49">
      <c r="A49" s="3" t="n"/>
      <c r="B49" s="2" t="n"/>
      <c r="C49" s="2" t="n"/>
      <c r="D49" s="2" t="n"/>
      <c r="E49" s="7" t="n"/>
      <c r="F49" s="7" t="n"/>
      <c r="G49" s="7" t="n"/>
      <c r="H49" s="7">
        <f>IF(E49="","",E49-F49-G49)</f>
        <v/>
      </c>
      <c r="I49" s="2" t="n"/>
      <c r="J49" s="2" t="n"/>
      <c r="K49" s="3" t="n"/>
      <c r="L49" s="2" t="n"/>
      <c r="M49" s="2" t="n"/>
      <c r="N49" s="2" t="n"/>
      <c r="O49" s="2" t="n"/>
    </row>
    <row r="50">
      <c r="A50" s="3" t="n"/>
      <c r="B50" s="2" t="n"/>
      <c r="C50" s="2" t="n"/>
      <c r="D50" s="2" t="n"/>
      <c r="E50" s="7" t="n"/>
      <c r="F50" s="7" t="n"/>
      <c r="G50" s="7" t="n"/>
      <c r="H50" s="7">
        <f>IF(E50="","",E50-F50-G50)</f>
        <v/>
      </c>
      <c r="I50" s="2" t="n"/>
      <c r="J50" s="2" t="n"/>
      <c r="K50" s="3" t="n"/>
      <c r="L50" s="2" t="n"/>
      <c r="M50" s="2" t="n"/>
      <c r="N50" s="2" t="n"/>
      <c r="O50" s="2" t="n"/>
    </row>
    <row r="51">
      <c r="A51" s="3" t="n"/>
      <c r="B51" s="2" t="n"/>
      <c r="C51" s="2" t="n"/>
      <c r="D51" s="2" t="n"/>
      <c r="E51" s="7" t="n"/>
      <c r="F51" s="7" t="n"/>
      <c r="G51" s="7" t="n"/>
      <c r="H51" s="7">
        <f>IF(E51="","",E51-F51-G51)</f>
        <v/>
      </c>
      <c r="I51" s="2" t="n"/>
      <c r="J51" s="2" t="n"/>
      <c r="K51" s="3" t="n"/>
      <c r="L51" s="2" t="n"/>
      <c r="M51" s="2" t="n"/>
      <c r="N51" s="2" t="n"/>
      <c r="O51" s="2" t="n"/>
    </row>
    <row r="52">
      <c r="A52" s="3" t="n"/>
      <c r="B52" s="2" t="n"/>
      <c r="C52" s="2" t="n"/>
      <c r="D52" s="2" t="n"/>
      <c r="E52" s="7" t="n"/>
      <c r="F52" s="7" t="n"/>
      <c r="G52" s="7" t="n"/>
      <c r="H52" s="7">
        <f>IF(E52="","",E52-F52-G52)</f>
        <v/>
      </c>
      <c r="I52" s="2" t="n"/>
      <c r="J52" s="2" t="n"/>
      <c r="K52" s="3" t="n"/>
      <c r="L52" s="2" t="n"/>
      <c r="M52" s="2" t="n"/>
      <c r="N52" s="2" t="n"/>
      <c r="O52" s="2" t="n"/>
    </row>
    <row r="53">
      <c r="A53" s="3" t="n"/>
      <c r="B53" s="2" t="n"/>
      <c r="C53" s="2" t="n"/>
      <c r="D53" s="2" t="n"/>
      <c r="E53" s="7" t="n"/>
      <c r="F53" s="7" t="n"/>
      <c r="G53" s="7" t="n"/>
      <c r="H53" s="7">
        <f>IF(E53="","",E53-F53-G53)</f>
        <v/>
      </c>
      <c r="I53" s="2" t="n"/>
      <c r="J53" s="2" t="n"/>
      <c r="K53" s="3" t="n"/>
      <c r="L53" s="2" t="n"/>
      <c r="M53" s="2" t="n"/>
      <c r="N53" s="2" t="n"/>
      <c r="O53" s="2" t="n"/>
    </row>
    <row r="54">
      <c r="A54" s="3" t="n"/>
      <c r="B54" s="2" t="n"/>
      <c r="C54" s="2" t="n"/>
      <c r="D54" s="2" t="n"/>
      <c r="E54" s="7" t="n"/>
      <c r="F54" s="7" t="n"/>
      <c r="G54" s="7" t="n"/>
      <c r="H54" s="7">
        <f>IF(E54="","",E54-F54-G54)</f>
        <v/>
      </c>
      <c r="I54" s="2" t="n"/>
      <c r="J54" s="2" t="n"/>
      <c r="K54" s="3" t="n"/>
      <c r="L54" s="2" t="n"/>
      <c r="M54" s="2" t="n"/>
      <c r="N54" s="2" t="n"/>
      <c r="O54" s="2" t="n"/>
    </row>
    <row r="55">
      <c r="A55" s="3" t="n"/>
      <c r="B55" s="2" t="n"/>
      <c r="C55" s="2" t="n"/>
      <c r="D55" s="2" t="n"/>
      <c r="E55" s="7" t="n"/>
      <c r="F55" s="7" t="n"/>
      <c r="G55" s="7" t="n"/>
      <c r="H55" s="7">
        <f>IF(E55="","",E55-F55-G55)</f>
        <v/>
      </c>
      <c r="I55" s="2" t="n"/>
      <c r="J55" s="2" t="n"/>
      <c r="K55" s="3" t="n"/>
      <c r="L55" s="2" t="n"/>
      <c r="M55" s="2" t="n"/>
      <c r="N55" s="2" t="n"/>
      <c r="O55" s="2" t="n"/>
    </row>
    <row r="56">
      <c r="A56" s="3" t="n"/>
      <c r="B56" s="2" t="n"/>
      <c r="C56" s="2" t="n"/>
      <c r="D56" s="2" t="n"/>
      <c r="E56" s="7" t="n"/>
      <c r="F56" s="7" t="n"/>
      <c r="G56" s="7" t="n"/>
      <c r="H56" s="7">
        <f>IF(E56="","",E56-F56-G56)</f>
        <v/>
      </c>
      <c r="I56" s="2" t="n"/>
      <c r="J56" s="2" t="n"/>
      <c r="K56" s="3" t="n"/>
      <c r="L56" s="2" t="n"/>
      <c r="M56" s="2" t="n"/>
      <c r="N56" s="2" t="n"/>
      <c r="O56" s="2" t="n"/>
    </row>
    <row r="57">
      <c r="A57" s="3" t="n"/>
      <c r="B57" s="2" t="n"/>
      <c r="C57" s="2" t="n"/>
      <c r="D57" s="2" t="n"/>
      <c r="E57" s="7" t="n"/>
      <c r="F57" s="7" t="n"/>
      <c r="G57" s="7" t="n"/>
      <c r="H57" s="7">
        <f>IF(E57="","",E57-F57-G57)</f>
        <v/>
      </c>
      <c r="I57" s="2" t="n"/>
      <c r="J57" s="2" t="n"/>
      <c r="K57" s="3" t="n"/>
      <c r="L57" s="2" t="n"/>
      <c r="M57" s="2" t="n"/>
      <c r="N57" s="2" t="n"/>
      <c r="O57" s="2" t="n"/>
    </row>
    <row r="58">
      <c r="A58" s="3" t="n"/>
      <c r="B58" s="2" t="n"/>
      <c r="C58" s="2" t="n"/>
      <c r="D58" s="2" t="n"/>
      <c r="E58" s="7" t="n"/>
      <c r="F58" s="7" t="n"/>
      <c r="G58" s="7" t="n"/>
      <c r="H58" s="7">
        <f>IF(E58="","",E58-F58-G58)</f>
        <v/>
      </c>
      <c r="I58" s="2" t="n"/>
      <c r="J58" s="2" t="n"/>
      <c r="K58" s="3" t="n"/>
      <c r="L58" s="2" t="n"/>
      <c r="M58" s="2" t="n"/>
      <c r="N58" s="2" t="n"/>
      <c r="O58" s="2" t="n"/>
    </row>
    <row r="59">
      <c r="A59" s="3" t="n"/>
      <c r="B59" s="2" t="n"/>
      <c r="C59" s="2" t="n"/>
      <c r="D59" s="2" t="n"/>
      <c r="E59" s="7" t="n"/>
      <c r="F59" s="7" t="n"/>
      <c r="G59" s="7" t="n"/>
      <c r="H59" s="7">
        <f>IF(E59="","",E59-F59-G59)</f>
        <v/>
      </c>
      <c r="I59" s="2" t="n"/>
      <c r="J59" s="2" t="n"/>
      <c r="K59" s="3" t="n"/>
      <c r="L59" s="2" t="n"/>
      <c r="M59" s="2" t="n"/>
      <c r="N59" s="2" t="n"/>
      <c r="O59" s="2" t="n"/>
    </row>
    <row r="60">
      <c r="A60" s="3" t="n"/>
      <c r="B60" s="2" t="n"/>
      <c r="C60" s="2" t="n"/>
      <c r="D60" s="2" t="n"/>
      <c r="E60" s="7" t="n"/>
      <c r="F60" s="7" t="n"/>
      <c r="G60" s="7" t="n"/>
      <c r="H60" s="7">
        <f>IF(E60="","",E60-F60-G60)</f>
        <v/>
      </c>
      <c r="I60" s="2" t="n"/>
      <c r="J60" s="2" t="n"/>
      <c r="K60" s="3" t="n"/>
      <c r="L60" s="2" t="n"/>
      <c r="M60" s="2" t="n"/>
      <c r="N60" s="2" t="n"/>
      <c r="O60" s="2" t="n"/>
    </row>
    <row r="61">
      <c r="A61" s="3" t="n"/>
      <c r="B61" s="2" t="n"/>
      <c r="C61" s="2" t="n"/>
      <c r="D61" s="2" t="n"/>
      <c r="E61" s="7" t="n"/>
      <c r="F61" s="7" t="n"/>
      <c r="G61" s="7" t="n"/>
      <c r="H61" s="7">
        <f>IF(E61="","",E61-F61-G61)</f>
        <v/>
      </c>
      <c r="I61" s="2" t="n"/>
      <c r="J61" s="2" t="n"/>
      <c r="K61" s="3" t="n"/>
      <c r="L61" s="2" t="n"/>
      <c r="M61" s="2" t="n"/>
      <c r="N61" s="2" t="n"/>
      <c r="O61" s="2" t="n"/>
    </row>
    <row r="62">
      <c r="A62" s="3" t="n"/>
      <c r="B62" s="2" t="n"/>
      <c r="C62" s="2" t="n"/>
      <c r="D62" s="2" t="n"/>
      <c r="E62" s="7" t="n"/>
      <c r="F62" s="7" t="n"/>
      <c r="G62" s="7" t="n"/>
      <c r="H62" s="7">
        <f>IF(E62="","",E62-F62-G62)</f>
        <v/>
      </c>
      <c r="I62" s="2" t="n"/>
      <c r="J62" s="2" t="n"/>
      <c r="K62" s="3" t="n"/>
      <c r="L62" s="2" t="n"/>
      <c r="M62" s="2" t="n"/>
      <c r="N62" s="2" t="n"/>
      <c r="O62" s="2" t="n"/>
    </row>
    <row r="63">
      <c r="A63" s="3" t="n"/>
      <c r="B63" s="2" t="n"/>
      <c r="C63" s="2" t="n"/>
      <c r="D63" s="2" t="n"/>
      <c r="E63" s="7" t="n"/>
      <c r="F63" s="7" t="n"/>
      <c r="G63" s="7" t="n"/>
      <c r="H63" s="7">
        <f>IF(E63="","",E63-F63-G63)</f>
        <v/>
      </c>
      <c r="I63" s="2" t="n"/>
      <c r="J63" s="2" t="n"/>
      <c r="K63" s="3" t="n"/>
      <c r="L63" s="2" t="n"/>
      <c r="M63" s="2" t="n"/>
      <c r="N63" s="2" t="n"/>
      <c r="O63" s="2" t="n"/>
    </row>
    <row r="64">
      <c r="A64" s="3" t="n"/>
      <c r="B64" s="2" t="n"/>
      <c r="C64" s="2" t="n"/>
      <c r="D64" s="2" t="n"/>
      <c r="E64" s="7" t="n"/>
      <c r="F64" s="7" t="n"/>
      <c r="G64" s="7" t="n"/>
      <c r="H64" s="7">
        <f>IF(E64="","",E64-F64-G64)</f>
        <v/>
      </c>
      <c r="I64" s="2" t="n"/>
      <c r="J64" s="2" t="n"/>
      <c r="K64" s="3" t="n"/>
      <c r="L64" s="2" t="n"/>
      <c r="M64" s="2" t="n"/>
      <c r="N64" s="2" t="n"/>
      <c r="O64" s="2" t="n"/>
    </row>
    <row r="65">
      <c r="A65" s="3" t="n"/>
      <c r="B65" s="2" t="n"/>
      <c r="C65" s="2" t="n"/>
      <c r="D65" s="2" t="n"/>
      <c r="E65" s="7" t="n"/>
      <c r="F65" s="7" t="n"/>
      <c r="G65" s="7" t="n"/>
      <c r="H65" s="7">
        <f>IF(E65="","",E65-F65-G65)</f>
        <v/>
      </c>
      <c r="I65" s="2" t="n"/>
      <c r="J65" s="2" t="n"/>
      <c r="K65" s="3" t="n"/>
      <c r="L65" s="2" t="n"/>
      <c r="M65" s="2" t="n"/>
      <c r="N65" s="2" t="n"/>
      <c r="O65" s="2" t="n"/>
    </row>
    <row r="66">
      <c r="A66" s="3" t="n"/>
      <c r="B66" s="2" t="n"/>
      <c r="C66" s="2" t="n"/>
      <c r="D66" s="2" t="n"/>
      <c r="E66" s="7" t="n"/>
      <c r="F66" s="7" t="n"/>
      <c r="G66" s="7" t="n"/>
      <c r="H66" s="7">
        <f>IF(E66="","",E66-F66-G66)</f>
        <v/>
      </c>
      <c r="I66" s="2" t="n"/>
      <c r="J66" s="2" t="n"/>
      <c r="K66" s="3" t="n"/>
      <c r="L66" s="2" t="n"/>
      <c r="M66" s="2" t="n"/>
      <c r="N66" s="2" t="n"/>
      <c r="O66" s="2" t="n"/>
    </row>
    <row r="67">
      <c r="A67" s="3" t="n"/>
      <c r="B67" s="2" t="n"/>
      <c r="C67" s="2" t="n"/>
      <c r="D67" s="2" t="n"/>
      <c r="E67" s="7" t="n"/>
      <c r="F67" s="7" t="n"/>
      <c r="G67" s="7" t="n"/>
      <c r="H67" s="7">
        <f>IF(E67="","",E67-F67-G67)</f>
        <v/>
      </c>
      <c r="I67" s="2" t="n"/>
      <c r="J67" s="2" t="n"/>
      <c r="K67" s="3" t="n"/>
      <c r="L67" s="2" t="n"/>
      <c r="M67" s="2" t="n"/>
      <c r="N67" s="2" t="n"/>
      <c r="O67" s="2" t="n"/>
    </row>
    <row r="68">
      <c r="A68" s="3" t="n"/>
      <c r="B68" s="2" t="n"/>
      <c r="C68" s="2" t="n"/>
      <c r="D68" s="2" t="n"/>
      <c r="E68" s="7" t="n"/>
      <c r="F68" s="7" t="n"/>
      <c r="G68" s="7" t="n"/>
      <c r="H68" s="7">
        <f>IF(E68="","",E68-F68-G68)</f>
        <v/>
      </c>
      <c r="I68" s="2" t="n"/>
      <c r="J68" s="2" t="n"/>
      <c r="K68" s="3" t="n"/>
      <c r="L68" s="2" t="n"/>
      <c r="M68" s="2" t="n"/>
      <c r="N68" s="2" t="n"/>
      <c r="O68" s="2" t="n"/>
    </row>
    <row r="69">
      <c r="A69" s="3" t="n"/>
      <c r="B69" s="2" t="n"/>
      <c r="C69" s="2" t="n"/>
      <c r="D69" s="2" t="n"/>
      <c r="E69" s="7" t="n"/>
      <c r="F69" s="7" t="n"/>
      <c r="G69" s="7" t="n"/>
      <c r="H69" s="7">
        <f>IF(E69="","",E69-F69-G69)</f>
        <v/>
      </c>
      <c r="I69" s="2" t="n"/>
      <c r="J69" s="2" t="n"/>
      <c r="K69" s="3" t="n"/>
      <c r="L69" s="2" t="n"/>
      <c r="M69" s="2" t="n"/>
      <c r="N69" s="2" t="n"/>
      <c r="O69" s="2" t="n"/>
    </row>
    <row r="70">
      <c r="A70" s="3" t="n"/>
      <c r="B70" s="2" t="n"/>
      <c r="C70" s="2" t="n"/>
      <c r="D70" s="2" t="n"/>
      <c r="E70" s="7" t="n"/>
      <c r="F70" s="7" t="n"/>
      <c r="G70" s="7" t="n"/>
      <c r="H70" s="7">
        <f>IF(E70="","",E70-F70-G70)</f>
        <v/>
      </c>
      <c r="I70" s="2" t="n"/>
      <c r="J70" s="2" t="n"/>
      <c r="K70" s="3" t="n"/>
      <c r="L70" s="2" t="n"/>
      <c r="M70" s="2" t="n"/>
      <c r="N70" s="2" t="n"/>
      <c r="O70" s="2" t="n"/>
    </row>
    <row r="71">
      <c r="A71" s="3" t="n"/>
      <c r="B71" s="2" t="n"/>
      <c r="C71" s="2" t="n"/>
      <c r="D71" s="2" t="n"/>
      <c r="E71" s="7" t="n"/>
      <c r="F71" s="7" t="n"/>
      <c r="G71" s="7" t="n"/>
      <c r="H71" s="7">
        <f>IF(E71="","",E71-F71-G71)</f>
        <v/>
      </c>
      <c r="I71" s="2" t="n"/>
      <c r="J71" s="2" t="n"/>
      <c r="K71" s="3" t="n"/>
      <c r="L71" s="2" t="n"/>
      <c r="M71" s="2" t="n"/>
      <c r="N71" s="2" t="n"/>
      <c r="O71" s="2" t="n"/>
    </row>
    <row r="72">
      <c r="A72" s="3" t="n"/>
      <c r="B72" s="2" t="n"/>
      <c r="C72" s="2" t="n"/>
      <c r="D72" s="2" t="n"/>
      <c r="E72" s="7" t="n"/>
      <c r="F72" s="7" t="n"/>
      <c r="G72" s="7" t="n"/>
      <c r="H72" s="7">
        <f>IF(E72="","",E72-F72-G72)</f>
        <v/>
      </c>
      <c r="I72" s="2" t="n"/>
      <c r="J72" s="2" t="n"/>
      <c r="K72" s="3" t="n"/>
      <c r="L72" s="2" t="n"/>
      <c r="M72" s="2" t="n"/>
      <c r="N72" s="2" t="n"/>
      <c r="O72" s="2" t="n"/>
    </row>
    <row r="73">
      <c r="A73" s="3" t="n"/>
      <c r="B73" s="2" t="n"/>
      <c r="C73" s="2" t="n"/>
      <c r="D73" s="2" t="n"/>
      <c r="E73" s="7" t="n"/>
      <c r="F73" s="7" t="n"/>
      <c r="G73" s="7" t="n"/>
      <c r="H73" s="7">
        <f>IF(E73="","",E73-F73-G73)</f>
        <v/>
      </c>
      <c r="I73" s="2" t="n"/>
      <c r="J73" s="2" t="n"/>
      <c r="K73" s="3" t="n"/>
      <c r="L73" s="2" t="n"/>
      <c r="M73" s="2" t="n"/>
      <c r="N73" s="2" t="n"/>
      <c r="O73" s="2" t="n"/>
    </row>
    <row r="74">
      <c r="A74" s="3" t="n"/>
      <c r="B74" s="2" t="n"/>
      <c r="C74" s="2" t="n"/>
      <c r="D74" s="2" t="n"/>
      <c r="E74" s="7" t="n"/>
      <c r="F74" s="7" t="n"/>
      <c r="G74" s="7" t="n"/>
      <c r="H74" s="7">
        <f>IF(E74="","",E74-F74-G74)</f>
        <v/>
      </c>
      <c r="I74" s="2" t="n"/>
      <c r="J74" s="2" t="n"/>
      <c r="K74" s="3" t="n"/>
      <c r="L74" s="2" t="n"/>
      <c r="M74" s="2" t="n"/>
      <c r="N74" s="2" t="n"/>
      <c r="O74" s="2" t="n"/>
    </row>
    <row r="75">
      <c r="A75" s="3" t="n"/>
      <c r="B75" s="2" t="n"/>
      <c r="C75" s="2" t="n"/>
      <c r="D75" s="2" t="n"/>
      <c r="E75" s="7" t="n"/>
      <c r="F75" s="7" t="n"/>
      <c r="G75" s="7" t="n"/>
      <c r="H75" s="7">
        <f>IF(E75="","",E75-F75-G75)</f>
        <v/>
      </c>
      <c r="I75" s="2" t="n"/>
      <c r="J75" s="2" t="n"/>
      <c r="K75" s="3" t="n"/>
      <c r="L75" s="2" t="n"/>
      <c r="M75" s="2" t="n"/>
      <c r="N75" s="2" t="n"/>
      <c r="O75" s="2" t="n"/>
    </row>
    <row r="76">
      <c r="A76" s="3" t="n"/>
      <c r="B76" s="2" t="n"/>
      <c r="C76" s="2" t="n"/>
      <c r="D76" s="2" t="n"/>
      <c r="E76" s="7" t="n"/>
      <c r="F76" s="7" t="n"/>
      <c r="G76" s="7" t="n"/>
      <c r="H76" s="7">
        <f>IF(E76="","",E76-F76-G76)</f>
        <v/>
      </c>
      <c r="I76" s="2" t="n"/>
      <c r="J76" s="2" t="n"/>
      <c r="K76" s="3" t="n"/>
      <c r="L76" s="2" t="n"/>
      <c r="M76" s="2" t="n"/>
      <c r="N76" s="2" t="n"/>
      <c r="O76" s="2" t="n"/>
    </row>
    <row r="77">
      <c r="A77" s="3" t="n"/>
      <c r="B77" s="2" t="n"/>
      <c r="C77" s="2" t="n"/>
      <c r="D77" s="2" t="n"/>
      <c r="E77" s="7" t="n"/>
      <c r="F77" s="7" t="n"/>
      <c r="G77" s="7" t="n"/>
      <c r="H77" s="7">
        <f>IF(E77="","",E77-F77-G77)</f>
        <v/>
      </c>
      <c r="I77" s="2" t="n"/>
      <c r="J77" s="2" t="n"/>
      <c r="K77" s="3" t="n"/>
      <c r="L77" s="2" t="n"/>
      <c r="M77" s="2" t="n"/>
      <c r="N77" s="2" t="n"/>
      <c r="O77" s="2" t="n"/>
    </row>
    <row r="78">
      <c r="A78" s="3" t="n"/>
      <c r="B78" s="2" t="n"/>
      <c r="C78" s="2" t="n"/>
      <c r="D78" s="2" t="n"/>
      <c r="E78" s="7" t="n"/>
      <c r="F78" s="7" t="n"/>
      <c r="G78" s="7" t="n"/>
      <c r="H78" s="7">
        <f>IF(E78="","",E78-F78-G78)</f>
        <v/>
      </c>
      <c r="I78" s="2" t="n"/>
      <c r="J78" s="2" t="n"/>
      <c r="K78" s="3" t="n"/>
      <c r="L78" s="2" t="n"/>
      <c r="M78" s="2" t="n"/>
      <c r="N78" s="2" t="n"/>
      <c r="O78" s="2" t="n"/>
    </row>
    <row r="79">
      <c r="A79" s="3" t="n"/>
      <c r="B79" s="2" t="n"/>
      <c r="C79" s="2" t="n"/>
      <c r="D79" s="2" t="n"/>
      <c r="E79" s="7" t="n"/>
      <c r="F79" s="7" t="n"/>
      <c r="G79" s="7" t="n"/>
      <c r="H79" s="7">
        <f>IF(E79="","",E79-F79-G79)</f>
        <v/>
      </c>
      <c r="I79" s="2" t="n"/>
      <c r="J79" s="2" t="n"/>
      <c r="K79" s="3" t="n"/>
      <c r="L79" s="2" t="n"/>
      <c r="M79" s="2" t="n"/>
      <c r="N79" s="2" t="n"/>
      <c r="O79" s="2" t="n"/>
    </row>
    <row r="80">
      <c r="A80" s="3" t="n"/>
      <c r="B80" s="2" t="n"/>
      <c r="C80" s="2" t="n"/>
      <c r="D80" s="2" t="n"/>
      <c r="E80" s="7" t="n"/>
      <c r="F80" s="7" t="n"/>
      <c r="G80" s="7" t="n"/>
      <c r="H80" s="7">
        <f>IF(E80="","",E80-F80-G80)</f>
        <v/>
      </c>
      <c r="I80" s="2" t="n"/>
      <c r="J80" s="2" t="n"/>
      <c r="K80" s="3" t="n"/>
      <c r="L80" s="2" t="n"/>
      <c r="M80" s="2" t="n"/>
      <c r="N80" s="2" t="n"/>
      <c r="O80" s="2" t="n"/>
    </row>
    <row r="81">
      <c r="A81" s="3" t="n"/>
      <c r="B81" s="2" t="n"/>
      <c r="C81" s="2" t="n"/>
      <c r="D81" s="2" t="n"/>
      <c r="E81" s="7" t="n"/>
      <c r="F81" s="7" t="n"/>
      <c r="G81" s="7" t="n"/>
      <c r="H81" s="7">
        <f>IF(E81="","",E81-F81-G81)</f>
        <v/>
      </c>
      <c r="I81" s="2" t="n"/>
      <c r="J81" s="2" t="n"/>
      <c r="K81" s="3" t="n"/>
      <c r="L81" s="2" t="n"/>
      <c r="M81" s="2" t="n"/>
      <c r="N81" s="2" t="n"/>
      <c r="O81" s="2" t="n"/>
    </row>
    <row r="82">
      <c r="A82" s="3" t="n"/>
      <c r="B82" s="2" t="n"/>
      <c r="C82" s="2" t="n"/>
      <c r="D82" s="2" t="n"/>
      <c r="E82" s="7" t="n"/>
      <c r="F82" s="7" t="n"/>
      <c r="G82" s="7" t="n"/>
      <c r="H82" s="7">
        <f>IF(E82="","",E82-F82-G82)</f>
        <v/>
      </c>
      <c r="I82" s="2" t="n"/>
      <c r="J82" s="2" t="n"/>
      <c r="K82" s="3" t="n"/>
      <c r="L82" s="2" t="n"/>
      <c r="M82" s="2" t="n"/>
      <c r="N82" s="2" t="n"/>
      <c r="O82" s="2" t="n"/>
    </row>
    <row r="83">
      <c r="A83" s="3" t="n"/>
      <c r="B83" s="2" t="n"/>
      <c r="C83" s="2" t="n"/>
      <c r="D83" s="2" t="n"/>
      <c r="E83" s="7" t="n"/>
      <c r="F83" s="7" t="n"/>
      <c r="G83" s="7" t="n"/>
      <c r="H83" s="7">
        <f>IF(E83="","",E83-F83-G83)</f>
        <v/>
      </c>
      <c r="I83" s="2" t="n"/>
      <c r="J83" s="2" t="n"/>
      <c r="K83" s="3" t="n"/>
      <c r="L83" s="2" t="n"/>
      <c r="M83" s="2" t="n"/>
      <c r="N83" s="2" t="n"/>
      <c r="O83" s="2" t="n"/>
    </row>
    <row r="84">
      <c r="A84" s="3" t="n"/>
      <c r="B84" s="2" t="n"/>
      <c r="C84" s="2" t="n"/>
      <c r="D84" s="2" t="n"/>
      <c r="E84" s="7" t="n"/>
      <c r="F84" s="7" t="n"/>
      <c r="G84" s="7" t="n"/>
      <c r="H84" s="7">
        <f>IF(E84="","",E84-F84-G84)</f>
        <v/>
      </c>
      <c r="I84" s="2" t="n"/>
      <c r="J84" s="2" t="n"/>
      <c r="K84" s="3" t="n"/>
      <c r="L84" s="2" t="n"/>
      <c r="M84" s="2" t="n"/>
      <c r="N84" s="2" t="n"/>
      <c r="O84" s="2" t="n"/>
    </row>
    <row r="85">
      <c r="A85" s="3" t="n"/>
      <c r="B85" s="2" t="n"/>
      <c r="C85" s="2" t="n"/>
      <c r="D85" s="2" t="n"/>
      <c r="E85" s="7" t="n"/>
      <c r="F85" s="7" t="n"/>
      <c r="G85" s="7" t="n"/>
      <c r="H85" s="7">
        <f>IF(E85="","",E85-F85-G85)</f>
        <v/>
      </c>
      <c r="I85" s="2" t="n"/>
      <c r="J85" s="2" t="n"/>
      <c r="K85" s="3" t="n"/>
      <c r="L85" s="2" t="n"/>
      <c r="M85" s="2" t="n"/>
      <c r="N85" s="2" t="n"/>
      <c r="O85" s="2" t="n"/>
    </row>
    <row r="86">
      <c r="A86" s="3" t="n"/>
      <c r="B86" s="2" t="n"/>
      <c r="C86" s="2" t="n"/>
      <c r="D86" s="2" t="n"/>
      <c r="E86" s="7" t="n"/>
      <c r="F86" s="7" t="n"/>
      <c r="G86" s="7" t="n"/>
      <c r="H86" s="7">
        <f>IF(E86="","",E86-F86-G86)</f>
        <v/>
      </c>
      <c r="I86" s="2" t="n"/>
      <c r="J86" s="2" t="n"/>
      <c r="K86" s="3" t="n"/>
      <c r="L86" s="2" t="n"/>
      <c r="M86" s="2" t="n"/>
      <c r="N86" s="2" t="n"/>
      <c r="O86" s="2" t="n"/>
    </row>
    <row r="87">
      <c r="A87" s="3" t="n"/>
      <c r="B87" s="2" t="n"/>
      <c r="C87" s="2" t="n"/>
      <c r="D87" s="2" t="n"/>
      <c r="E87" s="7" t="n"/>
      <c r="F87" s="7" t="n"/>
      <c r="G87" s="7" t="n"/>
      <c r="H87" s="7">
        <f>IF(E87="","",E87-F87-G87)</f>
        <v/>
      </c>
      <c r="I87" s="2" t="n"/>
      <c r="J87" s="2" t="n"/>
      <c r="K87" s="3" t="n"/>
      <c r="L87" s="2" t="n"/>
      <c r="M87" s="2" t="n"/>
      <c r="N87" s="2" t="n"/>
      <c r="O87" s="2" t="n"/>
    </row>
    <row r="88">
      <c r="A88" s="3" t="n"/>
      <c r="B88" s="2" t="n"/>
      <c r="C88" s="2" t="n"/>
      <c r="D88" s="2" t="n"/>
      <c r="E88" s="7" t="n"/>
      <c r="F88" s="7" t="n"/>
      <c r="G88" s="7" t="n"/>
      <c r="H88" s="7">
        <f>IF(E88="","",E88-F88-G88)</f>
        <v/>
      </c>
      <c r="I88" s="2" t="n"/>
      <c r="J88" s="2" t="n"/>
      <c r="K88" s="3" t="n"/>
      <c r="L88" s="2" t="n"/>
      <c r="M88" s="2" t="n"/>
      <c r="N88" s="2" t="n"/>
      <c r="O88" s="2" t="n"/>
    </row>
    <row r="89">
      <c r="A89" s="3" t="n"/>
      <c r="B89" s="2" t="n"/>
      <c r="C89" s="2" t="n"/>
      <c r="D89" s="2" t="n"/>
      <c r="E89" s="7" t="n"/>
      <c r="F89" s="7" t="n"/>
      <c r="G89" s="7" t="n"/>
      <c r="H89" s="7">
        <f>IF(E89="","",E89-F89-G89)</f>
        <v/>
      </c>
      <c r="I89" s="2" t="n"/>
      <c r="J89" s="2" t="n"/>
      <c r="K89" s="3" t="n"/>
      <c r="L89" s="2" t="n"/>
      <c r="M89" s="2" t="n"/>
      <c r="N89" s="2" t="n"/>
      <c r="O89" s="2" t="n"/>
    </row>
    <row r="90">
      <c r="A90" s="3" t="n"/>
      <c r="B90" s="2" t="n"/>
      <c r="C90" s="2" t="n"/>
      <c r="D90" s="2" t="n"/>
      <c r="E90" s="7" t="n"/>
      <c r="F90" s="7" t="n"/>
      <c r="G90" s="7" t="n"/>
      <c r="H90" s="7">
        <f>IF(E90="","",E90-F90-G90)</f>
        <v/>
      </c>
      <c r="I90" s="2" t="n"/>
      <c r="J90" s="2" t="n"/>
      <c r="K90" s="3" t="n"/>
      <c r="L90" s="2" t="n"/>
      <c r="M90" s="2" t="n"/>
      <c r="N90" s="2" t="n"/>
      <c r="O90" s="2" t="n"/>
    </row>
    <row r="91">
      <c r="A91" s="3" t="n"/>
      <c r="B91" s="2" t="n"/>
      <c r="C91" s="2" t="n"/>
      <c r="D91" s="2" t="n"/>
      <c r="E91" s="7" t="n"/>
      <c r="F91" s="7" t="n"/>
      <c r="G91" s="7" t="n"/>
      <c r="H91" s="7">
        <f>IF(E91="","",E91-F91-G91)</f>
        <v/>
      </c>
      <c r="I91" s="2" t="n"/>
      <c r="J91" s="2" t="n"/>
      <c r="K91" s="3" t="n"/>
      <c r="L91" s="2" t="n"/>
      <c r="M91" s="2" t="n"/>
      <c r="N91" s="2" t="n"/>
      <c r="O91" s="2" t="n"/>
    </row>
    <row r="92">
      <c r="A92" s="3" t="n"/>
      <c r="B92" s="2" t="n"/>
      <c r="C92" s="2" t="n"/>
      <c r="D92" s="2" t="n"/>
      <c r="E92" s="7" t="n"/>
      <c r="F92" s="7" t="n"/>
      <c r="G92" s="7" t="n"/>
      <c r="H92" s="7">
        <f>IF(E92="","",E92-F92-G92)</f>
        <v/>
      </c>
      <c r="I92" s="2" t="n"/>
      <c r="J92" s="2" t="n"/>
      <c r="K92" s="3" t="n"/>
      <c r="L92" s="2" t="n"/>
      <c r="M92" s="2" t="n"/>
      <c r="N92" s="2" t="n"/>
      <c r="O92" s="2" t="n"/>
    </row>
    <row r="93">
      <c r="A93" s="3" t="n"/>
      <c r="B93" s="2" t="n"/>
      <c r="C93" s="2" t="n"/>
      <c r="D93" s="2" t="n"/>
      <c r="E93" s="7" t="n"/>
      <c r="F93" s="7" t="n"/>
      <c r="G93" s="7" t="n"/>
      <c r="H93" s="7">
        <f>IF(E93="","",E93-F93-G93)</f>
        <v/>
      </c>
      <c r="I93" s="2" t="n"/>
      <c r="J93" s="2" t="n"/>
      <c r="K93" s="3" t="n"/>
      <c r="L93" s="2" t="n"/>
      <c r="M93" s="2" t="n"/>
      <c r="N93" s="2" t="n"/>
      <c r="O93" s="2" t="n"/>
    </row>
    <row r="94">
      <c r="A94" s="3" t="n"/>
      <c r="B94" s="2" t="n"/>
      <c r="C94" s="2" t="n"/>
      <c r="D94" s="2" t="n"/>
      <c r="E94" s="7" t="n"/>
      <c r="F94" s="7" t="n"/>
      <c r="G94" s="7" t="n"/>
      <c r="H94" s="7">
        <f>IF(E94="","",E94-F94-G94)</f>
        <v/>
      </c>
      <c r="I94" s="2" t="n"/>
      <c r="J94" s="2" t="n"/>
      <c r="K94" s="3" t="n"/>
      <c r="L94" s="2" t="n"/>
      <c r="M94" s="2" t="n"/>
      <c r="N94" s="2" t="n"/>
      <c r="O94" s="2" t="n"/>
    </row>
    <row r="95">
      <c r="A95" s="3" t="n"/>
      <c r="B95" s="2" t="n"/>
      <c r="C95" s="2" t="n"/>
      <c r="D95" s="2" t="n"/>
      <c r="E95" s="7" t="n"/>
      <c r="F95" s="7" t="n"/>
      <c r="G95" s="7" t="n"/>
      <c r="H95" s="7">
        <f>IF(E95="","",E95-F95-G95)</f>
        <v/>
      </c>
      <c r="I95" s="2" t="n"/>
      <c r="J95" s="2" t="n"/>
      <c r="K95" s="3" t="n"/>
      <c r="L95" s="2" t="n"/>
      <c r="M95" s="2" t="n"/>
      <c r="N95" s="2" t="n"/>
      <c r="O95" s="2" t="n"/>
    </row>
    <row r="96">
      <c r="A96" s="3" t="n"/>
      <c r="B96" s="2" t="n"/>
      <c r="C96" s="2" t="n"/>
      <c r="D96" s="2" t="n"/>
      <c r="E96" s="7" t="n"/>
      <c r="F96" s="7" t="n"/>
      <c r="G96" s="7" t="n"/>
      <c r="H96" s="7">
        <f>IF(E96="","",E96-F96-G96)</f>
        <v/>
      </c>
      <c r="I96" s="2" t="n"/>
      <c r="J96" s="2" t="n"/>
      <c r="K96" s="3" t="n"/>
      <c r="L96" s="2" t="n"/>
      <c r="M96" s="2" t="n"/>
      <c r="N96" s="2" t="n"/>
      <c r="O96" s="2" t="n"/>
    </row>
    <row r="97">
      <c r="A97" s="3" t="n"/>
      <c r="B97" s="2" t="n"/>
      <c r="C97" s="2" t="n"/>
      <c r="D97" s="2" t="n"/>
      <c r="E97" s="7" t="n"/>
      <c r="F97" s="7" t="n"/>
      <c r="G97" s="7" t="n"/>
      <c r="H97" s="7">
        <f>IF(E97="","",E97-F97-G97)</f>
        <v/>
      </c>
      <c r="I97" s="2" t="n"/>
      <c r="J97" s="2" t="n"/>
      <c r="K97" s="3" t="n"/>
      <c r="L97" s="2" t="n"/>
      <c r="M97" s="2" t="n"/>
      <c r="N97" s="2" t="n"/>
      <c r="O97" s="2" t="n"/>
    </row>
    <row r="98">
      <c r="A98" s="3" t="n"/>
      <c r="B98" s="2" t="n"/>
      <c r="C98" s="2" t="n"/>
      <c r="D98" s="2" t="n"/>
      <c r="E98" s="7" t="n"/>
      <c r="F98" s="7" t="n"/>
      <c r="G98" s="7" t="n"/>
      <c r="H98" s="7">
        <f>IF(E98="","",E98-F98-G98)</f>
        <v/>
      </c>
      <c r="I98" s="2" t="n"/>
      <c r="J98" s="2" t="n"/>
      <c r="K98" s="3" t="n"/>
      <c r="L98" s="2" t="n"/>
      <c r="M98" s="2" t="n"/>
      <c r="N98" s="2" t="n"/>
      <c r="O98" s="2" t="n"/>
    </row>
    <row r="99">
      <c r="A99" s="3" t="n"/>
      <c r="B99" s="2" t="n"/>
      <c r="C99" s="2" t="n"/>
      <c r="D99" s="2" t="n"/>
      <c r="E99" s="7" t="n"/>
      <c r="F99" s="7" t="n"/>
      <c r="G99" s="7" t="n"/>
      <c r="H99" s="7">
        <f>IF(E99="","",E99-F99-G99)</f>
        <v/>
      </c>
      <c r="I99" s="2" t="n"/>
      <c r="J99" s="2" t="n"/>
      <c r="K99" s="3" t="n"/>
      <c r="L99" s="2" t="n"/>
      <c r="M99" s="2" t="n"/>
      <c r="N99" s="2" t="n"/>
      <c r="O99" s="2" t="n"/>
    </row>
    <row r="100">
      <c r="A100" s="3" t="n"/>
      <c r="B100" s="2" t="n"/>
      <c r="C100" s="2" t="n"/>
      <c r="D100" s="2" t="n"/>
      <c r="E100" s="7" t="n"/>
      <c r="F100" s="7" t="n"/>
      <c r="G100" s="7" t="n"/>
      <c r="H100" s="7">
        <f>IF(E100="","",E100-F100-G100)</f>
        <v/>
      </c>
      <c r="I100" s="2" t="n"/>
      <c r="J100" s="2" t="n"/>
      <c r="K100" s="3" t="n"/>
      <c r="L100" s="2" t="n"/>
      <c r="M100" s="2" t="n"/>
      <c r="N100" s="2" t="n"/>
      <c r="O100" s="2" t="n"/>
    </row>
    <row r="101">
      <c r="A101" s="3" t="n"/>
      <c r="B101" s="2" t="n"/>
      <c r="C101" s="2" t="n"/>
      <c r="D101" s="2" t="n"/>
      <c r="E101" s="7" t="n"/>
      <c r="F101" s="7" t="n"/>
      <c r="G101" s="7" t="n"/>
      <c r="H101" s="7">
        <f>IF(E101="","",E101-F101-G101)</f>
        <v/>
      </c>
      <c r="I101" s="2" t="n"/>
      <c r="J101" s="2" t="n"/>
      <c r="K101" s="3" t="n"/>
      <c r="L101" s="2" t="n"/>
      <c r="M101" s="2" t="n"/>
      <c r="N101" s="2" t="n"/>
      <c r="O101" s="2" t="n"/>
    </row>
    <row r="102">
      <c r="A102" s="3" t="n"/>
      <c r="B102" s="2" t="n"/>
      <c r="C102" s="2" t="n"/>
      <c r="D102" s="2" t="n"/>
      <c r="E102" s="7" t="n"/>
      <c r="F102" s="7" t="n"/>
      <c r="G102" s="7" t="n"/>
      <c r="H102" s="7">
        <f>IF(E102="","",E102-F102-G102)</f>
        <v/>
      </c>
      <c r="I102" s="2" t="n"/>
      <c r="J102" s="2" t="n"/>
      <c r="K102" s="3" t="n"/>
      <c r="L102" s="2" t="n"/>
      <c r="M102" s="2" t="n"/>
      <c r="N102" s="2" t="n"/>
      <c r="O102" s="2" t="n"/>
    </row>
    <row r="103">
      <c r="A103" s="3" t="n"/>
      <c r="B103" s="2" t="n"/>
      <c r="C103" s="2" t="n"/>
      <c r="D103" s="2" t="n"/>
      <c r="E103" s="7" t="n"/>
      <c r="F103" s="7" t="n"/>
      <c r="G103" s="7" t="n"/>
      <c r="H103" s="7">
        <f>IF(E103="","",E103-F103-G103)</f>
        <v/>
      </c>
      <c r="I103" s="2" t="n"/>
      <c r="J103" s="2" t="n"/>
      <c r="K103" s="3" t="n"/>
      <c r="L103" s="2" t="n"/>
      <c r="M103" s="2" t="n"/>
      <c r="N103" s="2" t="n"/>
      <c r="O103" s="2" t="n"/>
    </row>
    <row r="104">
      <c r="A104" s="3" t="n"/>
      <c r="B104" s="2" t="n"/>
      <c r="C104" s="2" t="n"/>
      <c r="D104" s="2" t="n"/>
      <c r="E104" s="7" t="n"/>
      <c r="F104" s="7" t="n"/>
      <c r="G104" s="7" t="n"/>
      <c r="H104" s="7">
        <f>IF(E104="","",E104-F104-G104)</f>
        <v/>
      </c>
      <c r="I104" s="2" t="n"/>
      <c r="J104" s="2" t="n"/>
      <c r="K104" s="3" t="n"/>
      <c r="L104" s="2" t="n"/>
      <c r="M104" s="2" t="n"/>
      <c r="N104" s="2" t="n"/>
      <c r="O104" s="2" t="n"/>
    </row>
    <row r="105">
      <c r="A105" s="3" t="n"/>
      <c r="B105" s="2" t="n"/>
      <c r="C105" s="2" t="n"/>
      <c r="D105" s="2" t="n"/>
      <c r="E105" s="7" t="n"/>
      <c r="F105" s="7" t="n"/>
      <c r="G105" s="7" t="n"/>
      <c r="H105" s="7">
        <f>IF(E105="","",E105-F105-G105)</f>
        <v/>
      </c>
      <c r="I105" s="2" t="n"/>
      <c r="J105" s="2" t="n"/>
      <c r="K105" s="3" t="n"/>
      <c r="L105" s="2" t="n"/>
      <c r="M105" s="2" t="n"/>
      <c r="N105" s="2" t="n"/>
      <c r="O105" s="2" t="n"/>
    </row>
    <row r="106">
      <c r="A106" s="3" t="n"/>
      <c r="B106" s="2" t="n"/>
      <c r="C106" s="2" t="n"/>
      <c r="D106" s="2" t="n"/>
      <c r="E106" s="7" t="n"/>
      <c r="F106" s="7" t="n"/>
      <c r="G106" s="7" t="n"/>
      <c r="H106" s="7">
        <f>IF(E106="","",E106-F106-G106)</f>
        <v/>
      </c>
      <c r="I106" s="2" t="n"/>
      <c r="J106" s="2" t="n"/>
      <c r="K106" s="3" t="n"/>
      <c r="L106" s="2" t="n"/>
      <c r="M106" s="2" t="n"/>
      <c r="N106" s="2" t="n"/>
      <c r="O106" s="2" t="n"/>
    </row>
    <row r="107">
      <c r="A107" s="3" t="n"/>
      <c r="B107" s="2" t="n"/>
      <c r="C107" s="2" t="n"/>
      <c r="D107" s="2" t="n"/>
      <c r="E107" s="7" t="n"/>
      <c r="F107" s="7" t="n"/>
      <c r="G107" s="7" t="n"/>
      <c r="H107" s="7">
        <f>IF(E107="","",E107-F107-G107)</f>
        <v/>
      </c>
      <c r="I107" s="2" t="n"/>
      <c r="J107" s="2" t="n"/>
      <c r="K107" s="3" t="n"/>
      <c r="L107" s="2" t="n"/>
      <c r="M107" s="2" t="n"/>
      <c r="N107" s="2" t="n"/>
      <c r="O107" s="2" t="n"/>
    </row>
    <row r="108">
      <c r="A108" s="3" t="n"/>
      <c r="B108" s="2" t="n"/>
      <c r="C108" s="2" t="n"/>
      <c r="D108" s="2" t="n"/>
      <c r="E108" s="7" t="n"/>
      <c r="F108" s="7" t="n"/>
      <c r="G108" s="7" t="n"/>
      <c r="H108" s="7">
        <f>IF(E108="","",E108-F108-G108)</f>
        <v/>
      </c>
      <c r="I108" s="2" t="n"/>
      <c r="J108" s="2" t="n"/>
      <c r="K108" s="3" t="n"/>
      <c r="L108" s="2" t="n"/>
      <c r="M108" s="2" t="n"/>
      <c r="N108" s="2" t="n"/>
      <c r="O108" s="2" t="n"/>
    </row>
    <row r="109">
      <c r="A109" s="3" t="n"/>
      <c r="B109" s="2" t="n"/>
      <c r="C109" s="2" t="n"/>
      <c r="D109" s="2" t="n"/>
      <c r="E109" s="7" t="n"/>
      <c r="F109" s="7" t="n"/>
      <c r="G109" s="7" t="n"/>
      <c r="H109" s="7">
        <f>IF(E109="","",E109-F109-G109)</f>
        <v/>
      </c>
      <c r="I109" s="2" t="n"/>
      <c r="J109" s="2" t="n"/>
      <c r="K109" s="3" t="n"/>
      <c r="L109" s="2" t="n"/>
      <c r="M109" s="2" t="n"/>
      <c r="N109" s="2" t="n"/>
      <c r="O109" s="2" t="n"/>
    </row>
    <row r="110">
      <c r="A110" s="3" t="n"/>
      <c r="B110" s="2" t="n"/>
      <c r="C110" s="2" t="n"/>
      <c r="D110" s="2" t="n"/>
      <c r="E110" s="7" t="n"/>
      <c r="F110" s="7" t="n"/>
      <c r="G110" s="7" t="n"/>
      <c r="H110" s="7">
        <f>IF(E110="","",E110-F110-G110)</f>
        <v/>
      </c>
      <c r="I110" s="2" t="n"/>
      <c r="J110" s="2" t="n"/>
      <c r="K110" s="3" t="n"/>
      <c r="L110" s="2" t="n"/>
      <c r="M110" s="2" t="n"/>
      <c r="N110" s="2" t="n"/>
      <c r="O110" s="2" t="n"/>
    </row>
    <row r="111">
      <c r="A111" s="3" t="n"/>
      <c r="B111" s="2" t="n"/>
      <c r="C111" s="2" t="n"/>
      <c r="D111" s="2" t="n"/>
      <c r="E111" s="7" t="n"/>
      <c r="F111" s="7" t="n"/>
      <c r="G111" s="7" t="n"/>
      <c r="H111" s="7">
        <f>IF(E111="","",E111-F111-G111)</f>
        <v/>
      </c>
      <c r="I111" s="2" t="n"/>
      <c r="J111" s="2" t="n"/>
      <c r="K111" s="3" t="n"/>
      <c r="L111" s="2" t="n"/>
      <c r="M111" s="2" t="n"/>
      <c r="N111" s="2" t="n"/>
      <c r="O111" s="2" t="n"/>
    </row>
    <row r="112">
      <c r="A112" s="3" t="n"/>
      <c r="B112" s="2" t="n"/>
      <c r="C112" s="2" t="n"/>
      <c r="D112" s="2" t="n"/>
      <c r="E112" s="7" t="n"/>
      <c r="F112" s="7" t="n"/>
      <c r="G112" s="7" t="n"/>
      <c r="H112" s="7">
        <f>IF(E112="","",E112-F112-G112)</f>
        <v/>
      </c>
      <c r="I112" s="2" t="n"/>
      <c r="J112" s="2" t="n"/>
      <c r="K112" s="3" t="n"/>
      <c r="L112" s="2" t="n"/>
      <c r="M112" s="2" t="n"/>
      <c r="N112" s="2" t="n"/>
      <c r="O112" s="2" t="n"/>
    </row>
    <row r="113">
      <c r="A113" s="3" t="n"/>
      <c r="B113" s="2" t="n"/>
      <c r="C113" s="2" t="n"/>
      <c r="D113" s="2" t="n"/>
      <c r="E113" s="7" t="n"/>
      <c r="F113" s="7" t="n"/>
      <c r="G113" s="7" t="n"/>
      <c r="H113" s="7">
        <f>IF(E113="","",E113-F113-G113)</f>
        <v/>
      </c>
      <c r="I113" s="2" t="n"/>
      <c r="J113" s="2" t="n"/>
      <c r="K113" s="3" t="n"/>
      <c r="L113" s="2" t="n"/>
      <c r="M113" s="2" t="n"/>
      <c r="N113" s="2" t="n"/>
      <c r="O113" s="2" t="n"/>
    </row>
    <row r="114">
      <c r="A114" s="3" t="n"/>
      <c r="B114" s="2" t="n"/>
      <c r="C114" s="2" t="n"/>
      <c r="D114" s="2" t="n"/>
      <c r="E114" s="7" t="n"/>
      <c r="F114" s="7" t="n"/>
      <c r="G114" s="7" t="n"/>
      <c r="H114" s="7">
        <f>IF(E114="","",E114-F114-G114)</f>
        <v/>
      </c>
      <c r="I114" s="2" t="n"/>
      <c r="J114" s="2" t="n"/>
      <c r="K114" s="3" t="n"/>
      <c r="L114" s="2" t="n"/>
      <c r="M114" s="2" t="n"/>
      <c r="N114" s="2" t="n"/>
      <c r="O114" s="2" t="n"/>
    </row>
    <row r="115">
      <c r="A115" s="3" t="n"/>
      <c r="B115" s="2" t="n"/>
      <c r="C115" s="2" t="n"/>
      <c r="D115" s="2" t="n"/>
      <c r="E115" s="7" t="n"/>
      <c r="F115" s="7" t="n"/>
      <c r="G115" s="7" t="n"/>
      <c r="H115" s="7">
        <f>IF(E115="","",E115-F115-G115)</f>
        <v/>
      </c>
      <c r="I115" s="2" t="n"/>
      <c r="J115" s="2" t="n"/>
      <c r="K115" s="3" t="n"/>
      <c r="L115" s="2" t="n"/>
      <c r="M115" s="2" t="n"/>
      <c r="N115" s="2" t="n"/>
      <c r="O115" s="2" t="n"/>
    </row>
    <row r="116">
      <c r="A116" s="3" t="n"/>
      <c r="B116" s="2" t="n"/>
      <c r="C116" s="2" t="n"/>
      <c r="D116" s="2" t="n"/>
      <c r="E116" s="7" t="n"/>
      <c r="F116" s="7" t="n"/>
      <c r="G116" s="7" t="n"/>
      <c r="H116" s="7">
        <f>IF(E116="","",E116-F116-G116)</f>
        <v/>
      </c>
      <c r="I116" s="2" t="n"/>
      <c r="J116" s="2" t="n"/>
      <c r="K116" s="3" t="n"/>
      <c r="L116" s="2" t="n"/>
      <c r="M116" s="2" t="n"/>
      <c r="N116" s="2" t="n"/>
      <c r="O116" s="2" t="n"/>
    </row>
    <row r="117">
      <c r="A117" s="3" t="n"/>
      <c r="B117" s="2" t="n"/>
      <c r="C117" s="2" t="n"/>
      <c r="D117" s="2" t="n"/>
      <c r="E117" s="7" t="n"/>
      <c r="F117" s="7" t="n"/>
      <c r="G117" s="7" t="n"/>
      <c r="H117" s="7">
        <f>IF(E117="","",E117-F117-G117)</f>
        <v/>
      </c>
      <c r="I117" s="2" t="n"/>
      <c r="J117" s="2" t="n"/>
      <c r="K117" s="3" t="n"/>
      <c r="L117" s="2" t="n"/>
      <c r="M117" s="2" t="n"/>
      <c r="N117" s="2" t="n"/>
      <c r="O117" s="2" t="n"/>
    </row>
    <row r="118">
      <c r="A118" s="3" t="n"/>
      <c r="B118" s="2" t="n"/>
      <c r="C118" s="2" t="n"/>
      <c r="D118" s="2" t="n"/>
      <c r="E118" s="7" t="n"/>
      <c r="F118" s="7" t="n"/>
      <c r="G118" s="7" t="n"/>
      <c r="H118" s="7">
        <f>IF(E118="","",E118-F118-G118)</f>
        <v/>
      </c>
      <c r="I118" s="2" t="n"/>
      <c r="J118" s="2" t="n"/>
      <c r="K118" s="3" t="n"/>
      <c r="L118" s="2" t="n"/>
      <c r="M118" s="2" t="n"/>
      <c r="N118" s="2" t="n"/>
      <c r="O118" s="2" t="n"/>
    </row>
    <row r="119">
      <c r="A119" s="3" t="n"/>
      <c r="B119" s="2" t="n"/>
      <c r="C119" s="2" t="n"/>
      <c r="D119" s="2" t="n"/>
      <c r="E119" s="7" t="n"/>
      <c r="F119" s="7" t="n"/>
      <c r="G119" s="7" t="n"/>
      <c r="H119" s="7">
        <f>IF(E119="","",E119-F119-G119)</f>
        <v/>
      </c>
      <c r="I119" s="2" t="n"/>
      <c r="J119" s="2" t="n"/>
      <c r="K119" s="3" t="n"/>
      <c r="L119" s="2" t="n"/>
      <c r="M119" s="2" t="n"/>
      <c r="N119" s="2" t="n"/>
      <c r="O119" s="2" t="n"/>
    </row>
    <row r="120">
      <c r="A120" s="3" t="n"/>
      <c r="B120" s="2" t="n"/>
      <c r="C120" s="2" t="n"/>
      <c r="D120" s="2" t="n"/>
      <c r="E120" s="7" t="n"/>
      <c r="F120" s="7" t="n"/>
      <c r="G120" s="7" t="n"/>
      <c r="H120" s="7">
        <f>IF(E120="","",E120-F120-G120)</f>
        <v/>
      </c>
      <c r="I120" s="2" t="n"/>
      <c r="J120" s="2" t="n"/>
      <c r="K120" s="3" t="n"/>
      <c r="L120" s="2" t="n"/>
      <c r="M120" s="2" t="n"/>
      <c r="N120" s="2" t="n"/>
      <c r="O120" s="2" t="n"/>
    </row>
    <row r="121">
      <c r="A121" s="3" t="n"/>
      <c r="B121" s="2" t="n"/>
      <c r="C121" s="2" t="n"/>
      <c r="D121" s="2" t="n"/>
      <c r="E121" s="7" t="n"/>
      <c r="F121" s="7" t="n"/>
      <c r="G121" s="7" t="n"/>
      <c r="H121" s="7">
        <f>IF(E121="","",E121-F121-G121)</f>
        <v/>
      </c>
      <c r="I121" s="2" t="n"/>
      <c r="J121" s="2" t="n"/>
      <c r="K121" s="3" t="n"/>
      <c r="L121" s="2" t="n"/>
      <c r="M121" s="2" t="n"/>
      <c r="N121" s="2" t="n"/>
      <c r="O121" s="2" t="n"/>
    </row>
    <row r="122">
      <c r="A122" s="3" t="n"/>
      <c r="B122" s="2" t="n"/>
      <c r="C122" s="2" t="n"/>
      <c r="D122" s="2" t="n"/>
      <c r="E122" s="7" t="n"/>
      <c r="F122" s="7" t="n"/>
      <c r="G122" s="7" t="n"/>
      <c r="H122" s="7">
        <f>IF(E122="","",E122-F122-G122)</f>
        <v/>
      </c>
      <c r="I122" s="2" t="n"/>
      <c r="J122" s="2" t="n"/>
      <c r="K122" s="3" t="n"/>
      <c r="L122" s="2" t="n"/>
      <c r="M122" s="2" t="n"/>
      <c r="N122" s="2" t="n"/>
      <c r="O122" s="2" t="n"/>
    </row>
    <row r="123">
      <c r="A123" s="3" t="n"/>
      <c r="B123" s="2" t="n"/>
      <c r="C123" s="2" t="n"/>
      <c r="D123" s="2" t="n"/>
      <c r="E123" s="7" t="n"/>
      <c r="F123" s="7" t="n"/>
      <c r="G123" s="7" t="n"/>
      <c r="H123" s="7">
        <f>IF(E123="","",E123-F123-G123)</f>
        <v/>
      </c>
      <c r="I123" s="2" t="n"/>
      <c r="J123" s="2" t="n"/>
      <c r="K123" s="3" t="n"/>
      <c r="L123" s="2" t="n"/>
      <c r="M123" s="2" t="n"/>
      <c r="N123" s="2" t="n"/>
      <c r="O123" s="2" t="n"/>
    </row>
    <row r="124">
      <c r="A124" s="3" t="n"/>
      <c r="B124" s="2" t="n"/>
      <c r="C124" s="2" t="n"/>
      <c r="D124" s="2" t="n"/>
      <c r="E124" s="7" t="n"/>
      <c r="F124" s="7" t="n"/>
      <c r="G124" s="7" t="n"/>
      <c r="H124" s="7">
        <f>IF(E124="","",E124-F124-G124)</f>
        <v/>
      </c>
      <c r="I124" s="2" t="n"/>
      <c r="J124" s="2" t="n"/>
      <c r="K124" s="3" t="n"/>
      <c r="L124" s="2" t="n"/>
      <c r="M124" s="2" t="n"/>
      <c r="N124" s="2" t="n"/>
      <c r="O124" s="2" t="n"/>
    </row>
    <row r="125">
      <c r="A125" s="3" t="n"/>
      <c r="B125" s="2" t="n"/>
      <c r="C125" s="2" t="n"/>
      <c r="D125" s="2" t="n"/>
      <c r="E125" s="7" t="n"/>
      <c r="F125" s="7" t="n"/>
      <c r="G125" s="7" t="n"/>
      <c r="H125" s="7">
        <f>IF(E125="","",E125-F125-G125)</f>
        <v/>
      </c>
      <c r="I125" s="2" t="n"/>
      <c r="J125" s="2" t="n"/>
      <c r="K125" s="3" t="n"/>
      <c r="L125" s="2" t="n"/>
      <c r="M125" s="2" t="n"/>
      <c r="N125" s="2" t="n"/>
      <c r="O125" s="2" t="n"/>
    </row>
    <row r="126">
      <c r="A126" s="3" t="n"/>
      <c r="B126" s="2" t="n"/>
      <c r="C126" s="2" t="n"/>
      <c r="D126" s="2" t="n"/>
      <c r="E126" s="7" t="n"/>
      <c r="F126" s="7" t="n"/>
      <c r="G126" s="7" t="n"/>
      <c r="H126" s="7">
        <f>IF(E126="","",E126-F126-G126)</f>
        <v/>
      </c>
      <c r="I126" s="2" t="n"/>
      <c r="J126" s="2" t="n"/>
      <c r="K126" s="3" t="n"/>
      <c r="L126" s="2" t="n"/>
      <c r="M126" s="2" t="n"/>
      <c r="N126" s="2" t="n"/>
      <c r="O126" s="2" t="n"/>
    </row>
    <row r="127">
      <c r="A127" s="3" t="n"/>
      <c r="B127" s="2" t="n"/>
      <c r="C127" s="2" t="n"/>
      <c r="D127" s="2" t="n"/>
      <c r="E127" s="7" t="n"/>
      <c r="F127" s="7" t="n"/>
      <c r="G127" s="7" t="n"/>
      <c r="H127" s="7">
        <f>IF(E127="","",E127-F127-G127)</f>
        <v/>
      </c>
      <c r="I127" s="2" t="n"/>
      <c r="J127" s="2" t="n"/>
      <c r="K127" s="3" t="n"/>
      <c r="L127" s="2" t="n"/>
      <c r="M127" s="2" t="n"/>
      <c r="N127" s="2" t="n"/>
      <c r="O127" s="2" t="n"/>
    </row>
    <row r="128">
      <c r="A128" s="3" t="n"/>
      <c r="B128" s="2" t="n"/>
      <c r="C128" s="2" t="n"/>
      <c r="D128" s="2" t="n"/>
      <c r="E128" s="7" t="n"/>
      <c r="F128" s="7" t="n"/>
      <c r="G128" s="7" t="n"/>
      <c r="H128" s="7">
        <f>IF(E128="","",E128-F128-G128)</f>
        <v/>
      </c>
      <c r="I128" s="2" t="n"/>
      <c r="J128" s="2" t="n"/>
      <c r="K128" s="3" t="n"/>
      <c r="L128" s="2" t="n"/>
      <c r="M128" s="2" t="n"/>
      <c r="N128" s="2" t="n"/>
      <c r="O128" s="2" t="n"/>
    </row>
    <row r="129">
      <c r="A129" s="3" t="n"/>
      <c r="B129" s="2" t="n"/>
      <c r="C129" s="2" t="n"/>
      <c r="D129" s="2" t="n"/>
      <c r="E129" s="7" t="n"/>
      <c r="F129" s="7" t="n"/>
      <c r="G129" s="7" t="n"/>
      <c r="H129" s="7">
        <f>IF(E129="","",E129-F129-G129)</f>
        <v/>
      </c>
      <c r="I129" s="2" t="n"/>
      <c r="J129" s="2" t="n"/>
      <c r="K129" s="3" t="n"/>
      <c r="L129" s="2" t="n"/>
      <c r="M129" s="2" t="n"/>
      <c r="N129" s="2" t="n"/>
      <c r="O129" s="2" t="n"/>
    </row>
    <row r="130">
      <c r="A130" s="3" t="n"/>
      <c r="B130" s="2" t="n"/>
      <c r="C130" s="2" t="n"/>
      <c r="D130" s="2" t="n"/>
      <c r="E130" s="7" t="n"/>
      <c r="F130" s="7" t="n"/>
      <c r="G130" s="7" t="n"/>
      <c r="H130" s="7">
        <f>IF(E130="","",E130-F130-G130)</f>
        <v/>
      </c>
      <c r="I130" s="2" t="n"/>
      <c r="J130" s="2" t="n"/>
      <c r="K130" s="3" t="n"/>
      <c r="L130" s="2" t="n"/>
      <c r="M130" s="2" t="n"/>
      <c r="N130" s="2" t="n"/>
      <c r="O130" s="2" t="n"/>
    </row>
    <row r="131">
      <c r="A131" s="3" t="n"/>
      <c r="B131" s="2" t="n"/>
      <c r="C131" s="2" t="n"/>
      <c r="D131" s="2" t="n"/>
      <c r="E131" s="7" t="n"/>
      <c r="F131" s="7" t="n"/>
      <c r="G131" s="7" t="n"/>
      <c r="H131" s="7">
        <f>IF(E131="","",E131-F131-G131)</f>
        <v/>
      </c>
      <c r="I131" s="2" t="n"/>
      <c r="J131" s="2" t="n"/>
      <c r="K131" s="3" t="n"/>
      <c r="L131" s="2" t="n"/>
      <c r="M131" s="2" t="n"/>
      <c r="N131" s="2" t="n"/>
      <c r="O131" s="2" t="n"/>
    </row>
    <row r="132">
      <c r="A132" s="3" t="n"/>
      <c r="B132" s="2" t="n"/>
      <c r="C132" s="2" t="n"/>
      <c r="D132" s="2" t="n"/>
      <c r="E132" s="7" t="n"/>
      <c r="F132" s="7" t="n"/>
      <c r="G132" s="7" t="n"/>
      <c r="H132" s="7">
        <f>IF(E132="","",E132-F132-G132)</f>
        <v/>
      </c>
      <c r="I132" s="2" t="n"/>
      <c r="J132" s="2" t="n"/>
      <c r="K132" s="3" t="n"/>
      <c r="L132" s="2" t="n"/>
      <c r="M132" s="2" t="n"/>
      <c r="N132" s="2" t="n"/>
      <c r="O132" s="2" t="n"/>
    </row>
    <row r="133">
      <c r="A133" s="3" t="n"/>
      <c r="B133" s="2" t="n"/>
      <c r="C133" s="2" t="n"/>
      <c r="D133" s="2" t="n"/>
      <c r="E133" s="7" t="n"/>
      <c r="F133" s="7" t="n"/>
      <c r="G133" s="7" t="n"/>
      <c r="H133" s="7">
        <f>IF(E133="","",E133-F133-G133)</f>
        <v/>
      </c>
      <c r="I133" s="2" t="n"/>
      <c r="J133" s="2" t="n"/>
      <c r="K133" s="3" t="n"/>
      <c r="L133" s="2" t="n"/>
      <c r="M133" s="2" t="n"/>
      <c r="N133" s="2" t="n"/>
      <c r="O133" s="2" t="n"/>
    </row>
    <row r="134">
      <c r="A134" s="3" t="n"/>
      <c r="B134" s="2" t="n"/>
      <c r="C134" s="2" t="n"/>
      <c r="D134" s="2" t="n"/>
      <c r="E134" s="7" t="n"/>
      <c r="F134" s="7" t="n"/>
      <c r="G134" s="7" t="n"/>
      <c r="H134" s="7">
        <f>IF(E134="","",E134-F134-G134)</f>
        <v/>
      </c>
      <c r="I134" s="2" t="n"/>
      <c r="J134" s="2" t="n"/>
      <c r="K134" s="3" t="n"/>
      <c r="L134" s="2" t="n"/>
      <c r="M134" s="2" t="n"/>
      <c r="N134" s="2" t="n"/>
      <c r="O134" s="2" t="n"/>
    </row>
    <row r="135">
      <c r="A135" s="3" t="n"/>
      <c r="B135" s="2" t="n"/>
      <c r="C135" s="2" t="n"/>
      <c r="D135" s="2" t="n"/>
      <c r="E135" s="7" t="n"/>
      <c r="F135" s="7" t="n"/>
      <c r="G135" s="7" t="n"/>
      <c r="H135" s="7">
        <f>IF(E135="","",E135-F135-G135)</f>
        <v/>
      </c>
      <c r="I135" s="2" t="n"/>
      <c r="J135" s="2" t="n"/>
      <c r="K135" s="3" t="n"/>
      <c r="L135" s="2" t="n"/>
      <c r="M135" s="2" t="n"/>
      <c r="N135" s="2" t="n"/>
      <c r="O135" s="2" t="n"/>
    </row>
    <row r="136">
      <c r="A136" s="3" t="n"/>
      <c r="B136" s="2" t="n"/>
      <c r="C136" s="2" t="n"/>
      <c r="D136" s="2" t="n"/>
      <c r="E136" s="7" t="n"/>
      <c r="F136" s="7" t="n"/>
      <c r="G136" s="7" t="n"/>
      <c r="H136" s="7">
        <f>IF(E136="","",E136-F136-G136)</f>
        <v/>
      </c>
      <c r="I136" s="2" t="n"/>
      <c r="J136" s="2" t="n"/>
      <c r="K136" s="3" t="n"/>
      <c r="L136" s="2" t="n"/>
      <c r="M136" s="2" t="n"/>
      <c r="N136" s="2" t="n"/>
      <c r="O136" s="2" t="n"/>
    </row>
    <row r="137">
      <c r="A137" s="3" t="n"/>
      <c r="B137" s="2" t="n"/>
      <c r="C137" s="2" t="n"/>
      <c r="D137" s="2" t="n"/>
      <c r="E137" s="7" t="n"/>
      <c r="F137" s="7" t="n"/>
      <c r="G137" s="7" t="n"/>
      <c r="H137" s="7">
        <f>IF(E137="","",E137-F137-G137)</f>
        <v/>
      </c>
      <c r="I137" s="2" t="n"/>
      <c r="J137" s="2" t="n"/>
      <c r="K137" s="3" t="n"/>
      <c r="L137" s="2" t="n"/>
      <c r="M137" s="2" t="n"/>
      <c r="N137" s="2" t="n"/>
      <c r="O137" s="2" t="n"/>
    </row>
    <row r="138">
      <c r="A138" s="3" t="n"/>
      <c r="B138" s="2" t="n"/>
      <c r="C138" s="2" t="n"/>
      <c r="D138" s="2" t="n"/>
      <c r="E138" s="7" t="n"/>
      <c r="F138" s="7" t="n"/>
      <c r="G138" s="7" t="n"/>
      <c r="H138" s="7">
        <f>IF(E138="","",E138-F138-G138)</f>
        <v/>
      </c>
      <c r="I138" s="2" t="n"/>
      <c r="J138" s="2" t="n"/>
      <c r="K138" s="3" t="n"/>
      <c r="L138" s="2" t="n"/>
      <c r="M138" s="2" t="n"/>
      <c r="N138" s="2" t="n"/>
      <c r="O138" s="2" t="n"/>
    </row>
    <row r="139">
      <c r="A139" s="3" t="n"/>
      <c r="B139" s="2" t="n"/>
      <c r="C139" s="2" t="n"/>
      <c r="D139" s="2" t="n"/>
      <c r="E139" s="7" t="n"/>
      <c r="F139" s="7" t="n"/>
      <c r="G139" s="7" t="n"/>
      <c r="H139" s="7">
        <f>IF(E139="","",E139-F139-G139)</f>
        <v/>
      </c>
      <c r="I139" s="2" t="n"/>
      <c r="J139" s="2" t="n"/>
      <c r="K139" s="3" t="n"/>
      <c r="L139" s="2" t="n"/>
      <c r="M139" s="2" t="n"/>
      <c r="N139" s="2" t="n"/>
      <c r="O139" s="2" t="n"/>
    </row>
    <row r="140">
      <c r="A140" s="3" t="n"/>
      <c r="B140" s="2" t="n"/>
      <c r="C140" s="2" t="n"/>
      <c r="D140" s="2" t="n"/>
      <c r="E140" s="7" t="n"/>
      <c r="F140" s="7" t="n"/>
      <c r="G140" s="7" t="n"/>
      <c r="H140" s="7">
        <f>IF(E140="","",E140-F140-G140)</f>
        <v/>
      </c>
      <c r="I140" s="2" t="n"/>
      <c r="J140" s="2" t="n"/>
      <c r="K140" s="3" t="n"/>
      <c r="L140" s="2" t="n"/>
      <c r="M140" s="2" t="n"/>
      <c r="N140" s="2" t="n"/>
      <c r="O140" s="2" t="n"/>
    </row>
    <row r="141">
      <c r="A141" s="3" t="n"/>
      <c r="B141" s="2" t="n"/>
      <c r="C141" s="2" t="n"/>
      <c r="D141" s="2" t="n"/>
      <c r="E141" s="7" t="n"/>
      <c r="F141" s="7" t="n"/>
      <c r="G141" s="7" t="n"/>
      <c r="H141" s="7">
        <f>IF(E141="","",E141-F141-G141)</f>
        <v/>
      </c>
      <c r="I141" s="2" t="n"/>
      <c r="J141" s="2" t="n"/>
      <c r="K141" s="3" t="n"/>
      <c r="L141" s="2" t="n"/>
      <c r="M141" s="2" t="n"/>
      <c r="N141" s="2" t="n"/>
      <c r="O141" s="2" t="n"/>
    </row>
    <row r="142">
      <c r="A142" s="3" t="n"/>
      <c r="B142" s="2" t="n"/>
      <c r="C142" s="2" t="n"/>
      <c r="D142" s="2" t="n"/>
      <c r="E142" s="7" t="n"/>
      <c r="F142" s="7" t="n"/>
      <c r="G142" s="7" t="n"/>
      <c r="H142" s="7">
        <f>IF(E142="","",E142-F142-G142)</f>
        <v/>
      </c>
      <c r="I142" s="2" t="n"/>
      <c r="J142" s="2" t="n"/>
      <c r="K142" s="3" t="n"/>
      <c r="L142" s="2" t="n"/>
      <c r="M142" s="2" t="n"/>
      <c r="N142" s="2" t="n"/>
      <c r="O142" s="2" t="n"/>
    </row>
    <row r="143">
      <c r="A143" s="3" t="n"/>
      <c r="B143" s="2" t="n"/>
      <c r="C143" s="2" t="n"/>
      <c r="D143" s="2" t="n"/>
      <c r="E143" s="7" t="n"/>
      <c r="F143" s="7" t="n"/>
      <c r="G143" s="7" t="n"/>
      <c r="H143" s="7">
        <f>IF(E143="","",E143-F143-G143)</f>
        <v/>
      </c>
      <c r="I143" s="2" t="n"/>
      <c r="J143" s="2" t="n"/>
      <c r="K143" s="3" t="n"/>
      <c r="L143" s="2" t="n"/>
      <c r="M143" s="2" t="n"/>
      <c r="N143" s="2" t="n"/>
      <c r="O143" s="2" t="n"/>
    </row>
    <row r="144">
      <c r="A144" s="3" t="n"/>
      <c r="B144" s="2" t="n"/>
      <c r="C144" s="2" t="n"/>
      <c r="D144" s="2" t="n"/>
      <c r="E144" s="7" t="n"/>
      <c r="F144" s="7" t="n"/>
      <c r="G144" s="7" t="n"/>
      <c r="H144" s="7">
        <f>IF(E144="","",E144-F144-G144)</f>
        <v/>
      </c>
      <c r="I144" s="2" t="n"/>
      <c r="J144" s="2" t="n"/>
      <c r="K144" s="3" t="n"/>
      <c r="L144" s="2" t="n"/>
      <c r="M144" s="2" t="n"/>
      <c r="N144" s="2" t="n"/>
      <c r="O144" s="2" t="n"/>
    </row>
    <row r="145">
      <c r="A145" s="3" t="n"/>
      <c r="B145" s="2" t="n"/>
      <c r="C145" s="2" t="n"/>
      <c r="D145" s="2" t="n"/>
      <c r="E145" s="7" t="n"/>
      <c r="F145" s="7" t="n"/>
      <c r="G145" s="7" t="n"/>
      <c r="H145" s="7">
        <f>IF(E145="","",E145-F145-G145)</f>
        <v/>
      </c>
      <c r="I145" s="2" t="n"/>
      <c r="J145" s="2" t="n"/>
      <c r="K145" s="3" t="n"/>
      <c r="L145" s="2" t="n"/>
      <c r="M145" s="2" t="n"/>
      <c r="N145" s="2" t="n"/>
      <c r="O145" s="2" t="n"/>
    </row>
    <row r="146">
      <c r="A146" s="3" t="n"/>
      <c r="B146" s="2" t="n"/>
      <c r="C146" s="2" t="n"/>
      <c r="D146" s="2" t="n"/>
      <c r="E146" s="7" t="n"/>
      <c r="F146" s="7" t="n"/>
      <c r="G146" s="7" t="n"/>
      <c r="H146" s="7">
        <f>IF(E146="","",E146-F146-G146)</f>
        <v/>
      </c>
      <c r="I146" s="2" t="n"/>
      <c r="J146" s="2" t="n"/>
      <c r="K146" s="3" t="n"/>
      <c r="L146" s="2" t="n"/>
      <c r="M146" s="2" t="n"/>
      <c r="N146" s="2" t="n"/>
      <c r="O146" s="2" t="n"/>
    </row>
    <row r="147">
      <c r="A147" s="3" t="n"/>
      <c r="B147" s="2" t="n"/>
      <c r="C147" s="2" t="n"/>
      <c r="D147" s="2" t="n"/>
      <c r="E147" s="7" t="n"/>
      <c r="F147" s="7" t="n"/>
      <c r="G147" s="7" t="n"/>
      <c r="H147" s="7">
        <f>IF(E147="","",E147-F147-G147)</f>
        <v/>
      </c>
      <c r="I147" s="2" t="n"/>
      <c r="J147" s="2" t="n"/>
      <c r="K147" s="3" t="n"/>
      <c r="L147" s="2" t="n"/>
      <c r="M147" s="2" t="n"/>
      <c r="N147" s="2" t="n"/>
      <c r="O147" s="2" t="n"/>
    </row>
    <row r="148">
      <c r="A148" s="3" t="n"/>
      <c r="B148" s="2" t="n"/>
      <c r="C148" s="2" t="n"/>
      <c r="D148" s="2" t="n"/>
      <c r="E148" s="7" t="n"/>
      <c r="F148" s="7" t="n"/>
      <c r="G148" s="7" t="n"/>
      <c r="H148" s="7">
        <f>IF(E148="","",E148-F148-G148)</f>
        <v/>
      </c>
      <c r="I148" s="2" t="n"/>
      <c r="J148" s="2" t="n"/>
      <c r="K148" s="3" t="n"/>
      <c r="L148" s="2" t="n"/>
      <c r="M148" s="2" t="n"/>
      <c r="N148" s="2" t="n"/>
      <c r="O148" s="2" t="n"/>
    </row>
    <row r="149">
      <c r="A149" s="3" t="n"/>
      <c r="B149" s="2" t="n"/>
      <c r="C149" s="2" t="n"/>
      <c r="D149" s="2" t="n"/>
      <c r="E149" s="7" t="n"/>
      <c r="F149" s="7" t="n"/>
      <c r="G149" s="7" t="n"/>
      <c r="H149" s="7">
        <f>IF(E149="","",E149-F149-G149)</f>
        <v/>
      </c>
      <c r="I149" s="2" t="n"/>
      <c r="J149" s="2" t="n"/>
      <c r="K149" s="3" t="n"/>
      <c r="L149" s="2" t="n"/>
      <c r="M149" s="2" t="n"/>
      <c r="N149" s="2" t="n"/>
      <c r="O149" s="2" t="n"/>
    </row>
    <row r="150">
      <c r="A150" s="3" t="n"/>
      <c r="B150" s="2" t="n"/>
      <c r="C150" s="2" t="n"/>
      <c r="D150" s="2" t="n"/>
      <c r="E150" s="7" t="n"/>
      <c r="F150" s="7" t="n"/>
      <c r="G150" s="7" t="n"/>
      <c r="H150" s="7">
        <f>IF(E150="","",E150-F150-G150)</f>
        <v/>
      </c>
      <c r="I150" s="2" t="n"/>
      <c r="J150" s="2" t="n"/>
      <c r="K150" s="3" t="n"/>
      <c r="L150" s="2" t="n"/>
      <c r="M150" s="2" t="n"/>
      <c r="N150" s="2" t="n"/>
      <c r="O150" s="2" t="n"/>
    </row>
    <row r="151">
      <c r="A151" s="3" t="n"/>
      <c r="B151" s="2" t="n"/>
      <c r="C151" s="2" t="n"/>
      <c r="D151" s="2" t="n"/>
      <c r="E151" s="7" t="n"/>
      <c r="F151" s="7" t="n"/>
      <c r="G151" s="7" t="n"/>
      <c r="H151" s="7">
        <f>IF(E151="","",E151-F151-G151)</f>
        <v/>
      </c>
      <c r="I151" s="2" t="n"/>
      <c r="J151" s="2" t="n"/>
      <c r="K151" s="3" t="n"/>
      <c r="L151" s="2" t="n"/>
      <c r="M151" s="2" t="n"/>
      <c r="N151" s="2" t="n"/>
      <c r="O151" s="2" t="n"/>
    </row>
    <row r="152">
      <c r="A152" s="3" t="n"/>
      <c r="B152" s="2" t="n"/>
      <c r="C152" s="2" t="n"/>
      <c r="D152" s="2" t="n"/>
      <c r="E152" s="7" t="n"/>
      <c r="F152" s="7" t="n"/>
      <c r="G152" s="7" t="n"/>
      <c r="H152" s="7">
        <f>IF(E152="","",E152-F152-G152)</f>
        <v/>
      </c>
      <c r="I152" s="2" t="n"/>
      <c r="J152" s="2" t="n"/>
      <c r="K152" s="3" t="n"/>
      <c r="L152" s="2" t="n"/>
      <c r="M152" s="2" t="n"/>
      <c r="N152" s="2" t="n"/>
      <c r="O152" s="2" t="n"/>
    </row>
    <row r="153">
      <c r="A153" s="3" t="n"/>
      <c r="B153" s="2" t="n"/>
      <c r="C153" s="2" t="n"/>
      <c r="D153" s="2" t="n"/>
      <c r="E153" s="7" t="n"/>
      <c r="F153" s="7" t="n"/>
      <c r="G153" s="7" t="n"/>
      <c r="H153" s="7">
        <f>IF(E153="","",E153-F153-G153)</f>
        <v/>
      </c>
      <c r="I153" s="2" t="n"/>
      <c r="J153" s="2" t="n"/>
      <c r="K153" s="3" t="n"/>
      <c r="L153" s="2" t="n"/>
      <c r="M153" s="2" t="n"/>
      <c r="N153" s="2" t="n"/>
      <c r="O153" s="2" t="n"/>
    </row>
    <row r="154">
      <c r="A154" s="3" t="n"/>
      <c r="B154" s="2" t="n"/>
      <c r="C154" s="2" t="n"/>
      <c r="D154" s="2" t="n"/>
      <c r="E154" s="7" t="n"/>
      <c r="F154" s="7" t="n"/>
      <c r="G154" s="7" t="n"/>
      <c r="H154" s="7">
        <f>IF(E154="","",E154-F154-G154)</f>
        <v/>
      </c>
      <c r="I154" s="2" t="n"/>
      <c r="J154" s="2" t="n"/>
      <c r="K154" s="3" t="n"/>
      <c r="L154" s="2" t="n"/>
      <c r="M154" s="2" t="n"/>
      <c r="N154" s="2" t="n"/>
      <c r="O154" s="2" t="n"/>
    </row>
    <row r="155">
      <c r="A155" s="3" t="n"/>
      <c r="B155" s="2" t="n"/>
      <c r="C155" s="2" t="n"/>
      <c r="D155" s="2" t="n"/>
      <c r="E155" s="7" t="n"/>
      <c r="F155" s="7" t="n"/>
      <c r="G155" s="7" t="n"/>
      <c r="H155" s="7">
        <f>IF(E155="","",E155-F155-G155)</f>
        <v/>
      </c>
      <c r="I155" s="2" t="n"/>
      <c r="J155" s="2" t="n"/>
      <c r="K155" s="3" t="n"/>
      <c r="L155" s="2" t="n"/>
      <c r="M155" s="2" t="n"/>
      <c r="N155" s="2" t="n"/>
      <c r="O155" s="2" t="n"/>
    </row>
    <row r="156">
      <c r="A156" s="3" t="n"/>
      <c r="B156" s="2" t="n"/>
      <c r="C156" s="2" t="n"/>
      <c r="D156" s="2" t="n"/>
      <c r="E156" s="7" t="n"/>
      <c r="F156" s="7" t="n"/>
      <c r="G156" s="7" t="n"/>
      <c r="H156" s="7">
        <f>IF(E156="","",E156-F156-G156)</f>
        <v/>
      </c>
      <c r="I156" s="2" t="n"/>
      <c r="J156" s="2" t="n"/>
      <c r="K156" s="3" t="n"/>
      <c r="L156" s="2" t="n"/>
      <c r="M156" s="2" t="n"/>
      <c r="N156" s="2" t="n"/>
      <c r="O156" s="2" t="n"/>
    </row>
    <row r="157">
      <c r="A157" s="3" t="n"/>
      <c r="B157" s="2" t="n"/>
      <c r="C157" s="2" t="n"/>
      <c r="D157" s="2" t="n"/>
      <c r="E157" s="7" t="n"/>
      <c r="F157" s="7" t="n"/>
      <c r="G157" s="7" t="n"/>
      <c r="H157" s="7">
        <f>IF(E157="","",E157-F157-G157)</f>
        <v/>
      </c>
      <c r="I157" s="2" t="n"/>
      <c r="J157" s="2" t="n"/>
      <c r="K157" s="3" t="n"/>
      <c r="L157" s="2" t="n"/>
      <c r="M157" s="2" t="n"/>
      <c r="N157" s="2" t="n"/>
      <c r="O157" s="2" t="n"/>
    </row>
    <row r="158">
      <c r="A158" s="3" t="n"/>
      <c r="B158" s="2" t="n"/>
      <c r="C158" s="2" t="n"/>
      <c r="D158" s="2" t="n"/>
      <c r="E158" s="7" t="n"/>
      <c r="F158" s="7" t="n"/>
      <c r="G158" s="7" t="n"/>
      <c r="H158" s="7">
        <f>IF(E158="","",E158-F158-G158)</f>
        <v/>
      </c>
      <c r="I158" s="2" t="n"/>
      <c r="J158" s="2" t="n"/>
      <c r="K158" s="3" t="n"/>
      <c r="L158" s="2" t="n"/>
      <c r="M158" s="2" t="n"/>
      <c r="N158" s="2" t="n"/>
      <c r="O158" s="2" t="n"/>
    </row>
    <row r="159">
      <c r="A159" s="3" t="n"/>
      <c r="B159" s="2" t="n"/>
      <c r="C159" s="2" t="n"/>
      <c r="D159" s="2" t="n"/>
      <c r="E159" s="7" t="n"/>
      <c r="F159" s="7" t="n"/>
      <c r="G159" s="7" t="n"/>
      <c r="H159" s="7">
        <f>IF(E159="","",E159-F159-G159)</f>
        <v/>
      </c>
      <c r="I159" s="2" t="n"/>
      <c r="J159" s="2" t="n"/>
      <c r="K159" s="3" t="n"/>
      <c r="L159" s="2" t="n"/>
      <c r="M159" s="2" t="n"/>
      <c r="N159" s="2" t="n"/>
      <c r="O159" s="2" t="n"/>
    </row>
    <row r="160">
      <c r="A160" s="3" t="n"/>
      <c r="B160" s="2" t="n"/>
      <c r="C160" s="2" t="n"/>
      <c r="D160" s="2" t="n"/>
      <c r="E160" s="7" t="n"/>
      <c r="F160" s="7" t="n"/>
      <c r="G160" s="7" t="n"/>
      <c r="H160" s="7">
        <f>IF(E160="","",E160-F160-G160)</f>
        <v/>
      </c>
      <c r="I160" s="2" t="n"/>
      <c r="J160" s="2" t="n"/>
      <c r="K160" s="3" t="n"/>
      <c r="L160" s="2" t="n"/>
      <c r="M160" s="2" t="n"/>
      <c r="N160" s="2" t="n"/>
      <c r="O160" s="2" t="n"/>
    </row>
    <row r="161">
      <c r="A161" s="3" t="n"/>
      <c r="B161" s="2" t="n"/>
      <c r="C161" s="2" t="n"/>
      <c r="D161" s="2" t="n"/>
      <c r="E161" s="7" t="n"/>
      <c r="F161" s="7" t="n"/>
      <c r="G161" s="7" t="n"/>
      <c r="H161" s="7">
        <f>IF(E161="","",E161-F161-G161)</f>
        <v/>
      </c>
      <c r="I161" s="2" t="n"/>
      <c r="J161" s="2" t="n"/>
      <c r="K161" s="3" t="n"/>
      <c r="L161" s="2" t="n"/>
      <c r="M161" s="2" t="n"/>
      <c r="N161" s="2" t="n"/>
      <c r="O161" s="2" t="n"/>
    </row>
    <row r="162">
      <c r="A162" s="3" t="n"/>
      <c r="B162" s="2" t="n"/>
      <c r="C162" s="2" t="n"/>
      <c r="D162" s="2" t="n"/>
      <c r="E162" s="7" t="n"/>
      <c r="F162" s="7" t="n"/>
      <c r="G162" s="7" t="n"/>
      <c r="H162" s="7">
        <f>IF(E162="","",E162-F162-G162)</f>
        <v/>
      </c>
      <c r="I162" s="2" t="n"/>
      <c r="J162" s="2" t="n"/>
      <c r="K162" s="3" t="n"/>
      <c r="L162" s="2" t="n"/>
      <c r="M162" s="2" t="n"/>
      <c r="N162" s="2" t="n"/>
      <c r="O162" s="2" t="n"/>
    </row>
    <row r="163">
      <c r="A163" s="3" t="n"/>
      <c r="B163" s="2" t="n"/>
      <c r="C163" s="2" t="n"/>
      <c r="D163" s="2" t="n"/>
      <c r="E163" s="7" t="n"/>
      <c r="F163" s="7" t="n"/>
      <c r="G163" s="7" t="n"/>
      <c r="H163" s="7">
        <f>IF(E163="","",E163-F163-G163)</f>
        <v/>
      </c>
      <c r="I163" s="2" t="n"/>
      <c r="J163" s="2" t="n"/>
      <c r="K163" s="3" t="n"/>
      <c r="L163" s="2" t="n"/>
      <c r="M163" s="2" t="n"/>
      <c r="N163" s="2" t="n"/>
      <c r="O163" s="2" t="n"/>
    </row>
    <row r="164">
      <c r="A164" s="3" t="n"/>
      <c r="B164" s="2" t="n"/>
      <c r="C164" s="2" t="n"/>
      <c r="D164" s="2" t="n"/>
      <c r="E164" s="7" t="n"/>
      <c r="F164" s="7" t="n"/>
      <c r="G164" s="7" t="n"/>
      <c r="H164" s="7">
        <f>IF(E164="","",E164-F164-G164)</f>
        <v/>
      </c>
      <c r="I164" s="2" t="n"/>
      <c r="J164" s="2" t="n"/>
      <c r="K164" s="3" t="n"/>
      <c r="L164" s="2" t="n"/>
      <c r="M164" s="2" t="n"/>
      <c r="N164" s="2" t="n"/>
      <c r="O164" s="2" t="n"/>
    </row>
    <row r="165">
      <c r="A165" s="3" t="n"/>
      <c r="B165" s="2" t="n"/>
      <c r="C165" s="2" t="n"/>
      <c r="D165" s="2" t="n"/>
      <c r="E165" s="7" t="n"/>
      <c r="F165" s="7" t="n"/>
      <c r="G165" s="7" t="n"/>
      <c r="H165" s="7">
        <f>IF(E165="","",E165-F165-G165)</f>
        <v/>
      </c>
      <c r="I165" s="2" t="n"/>
      <c r="J165" s="2" t="n"/>
      <c r="K165" s="3" t="n"/>
      <c r="L165" s="2" t="n"/>
      <c r="M165" s="2" t="n"/>
      <c r="N165" s="2" t="n"/>
      <c r="O165" s="2" t="n"/>
    </row>
    <row r="166">
      <c r="A166" s="3" t="n"/>
      <c r="B166" s="2" t="n"/>
      <c r="C166" s="2" t="n"/>
      <c r="D166" s="2" t="n"/>
      <c r="E166" s="7" t="n"/>
      <c r="F166" s="7" t="n"/>
      <c r="G166" s="7" t="n"/>
      <c r="H166" s="7">
        <f>IF(E166="","",E166-F166-G166)</f>
        <v/>
      </c>
      <c r="I166" s="2" t="n"/>
      <c r="J166" s="2" t="n"/>
      <c r="K166" s="3" t="n"/>
      <c r="L166" s="2" t="n"/>
      <c r="M166" s="2" t="n"/>
      <c r="N166" s="2" t="n"/>
      <c r="O166" s="2" t="n"/>
    </row>
    <row r="167">
      <c r="A167" s="3" t="n"/>
      <c r="B167" s="2" t="n"/>
      <c r="C167" s="2" t="n"/>
      <c r="D167" s="2" t="n"/>
      <c r="E167" s="7" t="n"/>
      <c r="F167" s="7" t="n"/>
      <c r="G167" s="7" t="n"/>
      <c r="H167" s="7">
        <f>IF(E167="","",E167-F167-G167)</f>
        <v/>
      </c>
      <c r="I167" s="2" t="n"/>
      <c r="J167" s="2" t="n"/>
      <c r="K167" s="3" t="n"/>
      <c r="L167" s="2" t="n"/>
      <c r="M167" s="2" t="n"/>
      <c r="N167" s="2" t="n"/>
      <c r="O167" s="2" t="n"/>
    </row>
    <row r="168">
      <c r="A168" s="3" t="n"/>
      <c r="B168" s="2" t="n"/>
      <c r="C168" s="2" t="n"/>
      <c r="D168" s="2" t="n"/>
      <c r="E168" s="7" t="n"/>
      <c r="F168" s="7" t="n"/>
      <c r="G168" s="7" t="n"/>
      <c r="H168" s="7">
        <f>IF(E168="","",E168-F168-G168)</f>
        <v/>
      </c>
      <c r="I168" s="2" t="n"/>
      <c r="J168" s="2" t="n"/>
      <c r="K168" s="3" t="n"/>
      <c r="L168" s="2" t="n"/>
      <c r="M168" s="2" t="n"/>
      <c r="N168" s="2" t="n"/>
      <c r="O168" s="2" t="n"/>
    </row>
    <row r="169">
      <c r="A169" s="3" t="n"/>
      <c r="B169" s="2" t="n"/>
      <c r="C169" s="2" t="n"/>
      <c r="D169" s="2" t="n"/>
      <c r="E169" s="7" t="n"/>
      <c r="F169" s="7" t="n"/>
      <c r="G169" s="7" t="n"/>
      <c r="H169" s="7">
        <f>IF(E169="","",E169-F169-G169)</f>
        <v/>
      </c>
      <c r="I169" s="2" t="n"/>
      <c r="J169" s="2" t="n"/>
      <c r="K169" s="3" t="n"/>
      <c r="L169" s="2" t="n"/>
      <c r="M169" s="2" t="n"/>
      <c r="N169" s="2" t="n"/>
      <c r="O169" s="2" t="n"/>
    </row>
    <row r="170">
      <c r="A170" s="3" t="n"/>
      <c r="B170" s="2" t="n"/>
      <c r="C170" s="2" t="n"/>
      <c r="D170" s="2" t="n"/>
      <c r="E170" s="7" t="n"/>
      <c r="F170" s="7" t="n"/>
      <c r="G170" s="7" t="n"/>
      <c r="H170" s="7">
        <f>IF(E170="","",E170-F170-G170)</f>
        <v/>
      </c>
      <c r="I170" s="2" t="n"/>
      <c r="J170" s="2" t="n"/>
      <c r="K170" s="3" t="n"/>
      <c r="L170" s="2" t="n"/>
      <c r="M170" s="2" t="n"/>
      <c r="N170" s="2" t="n"/>
      <c r="O170" s="2" t="n"/>
    </row>
    <row r="171">
      <c r="A171" s="3" t="n"/>
      <c r="B171" s="2" t="n"/>
      <c r="C171" s="2" t="n"/>
      <c r="D171" s="2" t="n"/>
      <c r="E171" s="7" t="n"/>
      <c r="F171" s="7" t="n"/>
      <c r="G171" s="7" t="n"/>
      <c r="H171" s="7">
        <f>IF(E171="","",E171-F171-G171)</f>
        <v/>
      </c>
      <c r="I171" s="2" t="n"/>
      <c r="J171" s="2" t="n"/>
      <c r="K171" s="3" t="n"/>
      <c r="L171" s="2" t="n"/>
      <c r="M171" s="2" t="n"/>
      <c r="N171" s="2" t="n"/>
      <c r="O171" s="2" t="n"/>
    </row>
    <row r="172">
      <c r="A172" s="3" t="n"/>
      <c r="B172" s="2" t="n"/>
      <c r="C172" s="2" t="n"/>
      <c r="D172" s="2" t="n"/>
      <c r="E172" s="7" t="n"/>
      <c r="F172" s="7" t="n"/>
      <c r="G172" s="7" t="n"/>
      <c r="H172" s="7">
        <f>IF(E172="","",E172-F172-G172)</f>
        <v/>
      </c>
      <c r="I172" s="2" t="n"/>
      <c r="J172" s="2" t="n"/>
      <c r="K172" s="3" t="n"/>
      <c r="L172" s="2" t="n"/>
      <c r="M172" s="2" t="n"/>
      <c r="N172" s="2" t="n"/>
      <c r="O172" s="2" t="n"/>
    </row>
    <row r="173">
      <c r="A173" s="3" t="n"/>
      <c r="B173" s="2" t="n"/>
      <c r="C173" s="2" t="n"/>
      <c r="D173" s="2" t="n"/>
      <c r="E173" s="7" t="n"/>
      <c r="F173" s="7" t="n"/>
      <c r="G173" s="7" t="n"/>
      <c r="H173" s="7">
        <f>IF(E173="","",E173-F173-G173)</f>
        <v/>
      </c>
      <c r="I173" s="2" t="n"/>
      <c r="J173" s="2" t="n"/>
      <c r="K173" s="3" t="n"/>
      <c r="L173" s="2" t="n"/>
      <c r="M173" s="2" t="n"/>
      <c r="N173" s="2" t="n"/>
      <c r="O173" s="2" t="n"/>
    </row>
    <row r="174">
      <c r="A174" s="3" t="n"/>
      <c r="B174" s="2" t="n"/>
      <c r="C174" s="2" t="n"/>
      <c r="D174" s="2" t="n"/>
      <c r="E174" s="7" t="n"/>
      <c r="F174" s="7" t="n"/>
      <c r="G174" s="7" t="n"/>
      <c r="H174" s="7">
        <f>IF(E174="","",E174-F174-G174)</f>
        <v/>
      </c>
      <c r="I174" s="2" t="n"/>
      <c r="J174" s="2" t="n"/>
      <c r="K174" s="3" t="n"/>
      <c r="L174" s="2" t="n"/>
      <c r="M174" s="2" t="n"/>
      <c r="N174" s="2" t="n"/>
      <c r="O174" s="2" t="n"/>
    </row>
    <row r="175">
      <c r="A175" s="3" t="n"/>
      <c r="B175" s="2" t="n"/>
      <c r="C175" s="2" t="n"/>
      <c r="D175" s="2" t="n"/>
      <c r="E175" s="7" t="n"/>
      <c r="F175" s="7" t="n"/>
      <c r="G175" s="7" t="n"/>
      <c r="H175" s="7">
        <f>IF(E175="","",E175-F175-G175)</f>
        <v/>
      </c>
      <c r="I175" s="2" t="n"/>
      <c r="J175" s="2" t="n"/>
      <c r="K175" s="3" t="n"/>
      <c r="L175" s="2" t="n"/>
      <c r="M175" s="2" t="n"/>
      <c r="N175" s="2" t="n"/>
      <c r="O175" s="2" t="n"/>
    </row>
    <row r="176">
      <c r="A176" s="3" t="n"/>
      <c r="B176" s="2" t="n"/>
      <c r="C176" s="2" t="n"/>
      <c r="D176" s="2" t="n"/>
      <c r="E176" s="7" t="n"/>
      <c r="F176" s="7" t="n"/>
      <c r="G176" s="7" t="n"/>
      <c r="H176" s="7">
        <f>IF(E176="","",E176-F176-G176)</f>
        <v/>
      </c>
      <c r="I176" s="2" t="n"/>
      <c r="J176" s="2" t="n"/>
      <c r="K176" s="3" t="n"/>
      <c r="L176" s="2" t="n"/>
      <c r="M176" s="2" t="n"/>
      <c r="N176" s="2" t="n"/>
      <c r="O176" s="2" t="n"/>
    </row>
    <row r="177">
      <c r="A177" s="3" t="n"/>
      <c r="B177" s="2" t="n"/>
      <c r="C177" s="2" t="n"/>
      <c r="D177" s="2" t="n"/>
      <c r="E177" s="7" t="n"/>
      <c r="F177" s="7" t="n"/>
      <c r="G177" s="7" t="n"/>
      <c r="H177" s="7">
        <f>IF(E177="","",E177-F177-G177)</f>
        <v/>
      </c>
      <c r="I177" s="2" t="n"/>
      <c r="J177" s="2" t="n"/>
      <c r="K177" s="3" t="n"/>
      <c r="L177" s="2" t="n"/>
      <c r="M177" s="2" t="n"/>
      <c r="N177" s="2" t="n"/>
      <c r="O177" s="2" t="n"/>
    </row>
    <row r="178">
      <c r="A178" s="3" t="n"/>
      <c r="B178" s="2" t="n"/>
      <c r="C178" s="2" t="n"/>
      <c r="D178" s="2" t="n"/>
      <c r="E178" s="7" t="n"/>
      <c r="F178" s="7" t="n"/>
      <c r="G178" s="7" t="n"/>
      <c r="H178" s="7">
        <f>IF(E178="","",E178-F178-G178)</f>
        <v/>
      </c>
      <c r="I178" s="2" t="n"/>
      <c r="J178" s="2" t="n"/>
      <c r="K178" s="3" t="n"/>
      <c r="L178" s="2" t="n"/>
      <c r="M178" s="2" t="n"/>
      <c r="N178" s="2" t="n"/>
      <c r="O178" s="2" t="n"/>
    </row>
    <row r="179">
      <c r="A179" s="3" t="n"/>
      <c r="B179" s="2" t="n"/>
      <c r="C179" s="2" t="n"/>
      <c r="D179" s="2" t="n"/>
      <c r="E179" s="7" t="n"/>
      <c r="F179" s="7" t="n"/>
      <c r="G179" s="7" t="n"/>
      <c r="H179" s="7">
        <f>IF(E179="","",E179-F179-G179)</f>
        <v/>
      </c>
      <c r="I179" s="2" t="n"/>
      <c r="J179" s="2" t="n"/>
      <c r="K179" s="3" t="n"/>
      <c r="L179" s="2" t="n"/>
      <c r="M179" s="2" t="n"/>
      <c r="N179" s="2" t="n"/>
      <c r="O179" s="2" t="n"/>
    </row>
    <row r="180">
      <c r="A180" s="3" t="n"/>
      <c r="B180" s="2" t="n"/>
      <c r="C180" s="2" t="n"/>
      <c r="D180" s="2" t="n"/>
      <c r="E180" s="7" t="n"/>
      <c r="F180" s="7" t="n"/>
      <c r="G180" s="7" t="n"/>
      <c r="H180" s="7">
        <f>IF(E180="","",E180-F180-G180)</f>
        <v/>
      </c>
      <c r="I180" s="2" t="n"/>
      <c r="J180" s="2" t="n"/>
      <c r="K180" s="3" t="n"/>
      <c r="L180" s="2" t="n"/>
      <c r="M180" s="2" t="n"/>
      <c r="N180" s="2" t="n"/>
      <c r="O180" s="2" t="n"/>
    </row>
    <row r="181">
      <c r="A181" s="3" t="n"/>
      <c r="B181" s="2" t="n"/>
      <c r="C181" s="2" t="n"/>
      <c r="D181" s="2" t="n"/>
      <c r="E181" s="7" t="n"/>
      <c r="F181" s="7" t="n"/>
      <c r="G181" s="7" t="n"/>
      <c r="H181" s="7">
        <f>IF(E181="","",E181-F181-G181)</f>
        <v/>
      </c>
      <c r="I181" s="2" t="n"/>
      <c r="J181" s="2" t="n"/>
      <c r="K181" s="3" t="n"/>
      <c r="L181" s="2" t="n"/>
      <c r="M181" s="2" t="n"/>
      <c r="N181" s="2" t="n"/>
      <c r="O181" s="2" t="n"/>
    </row>
    <row r="182">
      <c r="A182" s="3" t="n"/>
      <c r="B182" s="2" t="n"/>
      <c r="C182" s="2" t="n"/>
      <c r="D182" s="2" t="n"/>
      <c r="E182" s="7" t="n"/>
      <c r="F182" s="7" t="n"/>
      <c r="G182" s="7" t="n"/>
      <c r="H182" s="7">
        <f>IF(E182="","",E182-F182-G182)</f>
        <v/>
      </c>
      <c r="I182" s="2" t="n"/>
      <c r="J182" s="2" t="n"/>
      <c r="K182" s="3" t="n"/>
      <c r="L182" s="2" t="n"/>
      <c r="M182" s="2" t="n"/>
      <c r="N182" s="2" t="n"/>
      <c r="O182" s="2" t="n"/>
    </row>
    <row r="183">
      <c r="A183" s="3" t="n"/>
      <c r="B183" s="2" t="n"/>
      <c r="C183" s="2" t="n"/>
      <c r="D183" s="2" t="n"/>
      <c r="E183" s="7" t="n"/>
      <c r="F183" s="7" t="n"/>
      <c r="G183" s="7" t="n"/>
      <c r="H183" s="7">
        <f>IF(E183="","",E183-F183-G183)</f>
        <v/>
      </c>
      <c r="I183" s="2" t="n"/>
      <c r="J183" s="2" t="n"/>
      <c r="K183" s="3" t="n"/>
      <c r="L183" s="2" t="n"/>
      <c r="M183" s="2" t="n"/>
      <c r="N183" s="2" t="n"/>
      <c r="O183" s="2" t="n"/>
    </row>
    <row r="184">
      <c r="A184" s="3" t="n"/>
      <c r="B184" s="2" t="n"/>
      <c r="C184" s="2" t="n"/>
      <c r="D184" s="2" t="n"/>
      <c r="E184" s="7" t="n"/>
      <c r="F184" s="7" t="n"/>
      <c r="G184" s="7" t="n"/>
      <c r="H184" s="7">
        <f>IF(E184="","",E184-F184-G184)</f>
        <v/>
      </c>
      <c r="I184" s="2" t="n"/>
      <c r="J184" s="2" t="n"/>
      <c r="K184" s="3" t="n"/>
      <c r="L184" s="2" t="n"/>
      <c r="M184" s="2" t="n"/>
      <c r="N184" s="2" t="n"/>
      <c r="O184" s="2" t="n"/>
    </row>
    <row r="185">
      <c r="A185" s="3" t="n"/>
      <c r="B185" s="2" t="n"/>
      <c r="C185" s="2" t="n"/>
      <c r="D185" s="2" t="n"/>
      <c r="E185" s="7" t="n"/>
      <c r="F185" s="7" t="n"/>
      <c r="G185" s="7" t="n"/>
      <c r="H185" s="7">
        <f>IF(E185="","",E185-F185-G185)</f>
        <v/>
      </c>
      <c r="I185" s="2" t="n"/>
      <c r="J185" s="2" t="n"/>
      <c r="K185" s="3" t="n"/>
      <c r="L185" s="2" t="n"/>
      <c r="M185" s="2" t="n"/>
      <c r="N185" s="2" t="n"/>
      <c r="O185" s="2" t="n"/>
    </row>
    <row r="186">
      <c r="A186" s="3" t="n"/>
      <c r="B186" s="2" t="n"/>
      <c r="C186" s="2" t="n"/>
      <c r="D186" s="2" t="n"/>
      <c r="E186" s="7" t="n"/>
      <c r="F186" s="7" t="n"/>
      <c r="G186" s="7" t="n"/>
      <c r="H186" s="7">
        <f>IF(E186="","",E186-F186-G186)</f>
        <v/>
      </c>
      <c r="I186" s="2" t="n"/>
      <c r="J186" s="2" t="n"/>
      <c r="K186" s="3" t="n"/>
      <c r="L186" s="2" t="n"/>
      <c r="M186" s="2" t="n"/>
      <c r="N186" s="2" t="n"/>
      <c r="O186" s="2" t="n"/>
    </row>
    <row r="187">
      <c r="A187" s="3" t="n"/>
      <c r="B187" s="2" t="n"/>
      <c r="C187" s="2" t="n"/>
      <c r="D187" s="2" t="n"/>
      <c r="E187" s="7" t="n"/>
      <c r="F187" s="7" t="n"/>
      <c r="G187" s="7" t="n"/>
      <c r="H187" s="7">
        <f>IF(E187="","",E187-F187-G187)</f>
        <v/>
      </c>
      <c r="I187" s="2" t="n"/>
      <c r="J187" s="2" t="n"/>
      <c r="K187" s="3" t="n"/>
      <c r="L187" s="2" t="n"/>
      <c r="M187" s="2" t="n"/>
      <c r="N187" s="2" t="n"/>
      <c r="O187" s="2" t="n"/>
    </row>
    <row r="188">
      <c r="A188" s="3" t="n"/>
      <c r="B188" s="2" t="n"/>
      <c r="C188" s="2" t="n"/>
      <c r="D188" s="2" t="n"/>
      <c r="E188" s="7" t="n"/>
      <c r="F188" s="7" t="n"/>
      <c r="G188" s="7" t="n"/>
      <c r="H188" s="7">
        <f>IF(E188="","",E188-F188-G188)</f>
        <v/>
      </c>
      <c r="I188" s="2" t="n"/>
      <c r="J188" s="2" t="n"/>
      <c r="K188" s="3" t="n"/>
      <c r="L188" s="2" t="n"/>
      <c r="M188" s="2" t="n"/>
      <c r="N188" s="2" t="n"/>
      <c r="O188" s="2" t="n"/>
    </row>
    <row r="189">
      <c r="A189" s="3" t="n"/>
      <c r="B189" s="2" t="n"/>
      <c r="C189" s="2" t="n"/>
      <c r="D189" s="2" t="n"/>
      <c r="E189" s="7" t="n"/>
      <c r="F189" s="7" t="n"/>
      <c r="G189" s="7" t="n"/>
      <c r="H189" s="7">
        <f>IF(E189="","",E189-F189-G189)</f>
        <v/>
      </c>
      <c r="I189" s="2" t="n"/>
      <c r="J189" s="2" t="n"/>
      <c r="K189" s="3" t="n"/>
      <c r="L189" s="2" t="n"/>
      <c r="M189" s="2" t="n"/>
      <c r="N189" s="2" t="n"/>
      <c r="O189" s="2" t="n"/>
    </row>
    <row r="190">
      <c r="A190" s="3" t="n"/>
      <c r="B190" s="2" t="n"/>
      <c r="C190" s="2" t="n"/>
      <c r="D190" s="2" t="n"/>
      <c r="E190" s="7" t="n"/>
      <c r="F190" s="7" t="n"/>
      <c r="G190" s="7" t="n"/>
      <c r="H190" s="7">
        <f>IF(E190="","",E190-F190-G190)</f>
        <v/>
      </c>
      <c r="I190" s="2" t="n"/>
      <c r="J190" s="2" t="n"/>
      <c r="K190" s="3" t="n"/>
      <c r="L190" s="2" t="n"/>
      <c r="M190" s="2" t="n"/>
      <c r="N190" s="2" t="n"/>
      <c r="O190" s="2" t="n"/>
    </row>
    <row r="191">
      <c r="A191" s="3" t="n"/>
      <c r="B191" s="2" t="n"/>
      <c r="C191" s="2" t="n"/>
      <c r="D191" s="2" t="n"/>
      <c r="E191" s="7" t="n"/>
      <c r="F191" s="7" t="n"/>
      <c r="G191" s="7" t="n"/>
      <c r="H191" s="7">
        <f>IF(E191="","",E191-F191-G191)</f>
        <v/>
      </c>
      <c r="I191" s="2" t="n"/>
      <c r="J191" s="2" t="n"/>
      <c r="K191" s="3" t="n"/>
      <c r="L191" s="2" t="n"/>
      <c r="M191" s="2" t="n"/>
      <c r="N191" s="2" t="n"/>
      <c r="O191" s="2" t="n"/>
    </row>
    <row r="192">
      <c r="A192" s="3" t="n"/>
      <c r="B192" s="2" t="n"/>
      <c r="C192" s="2" t="n"/>
      <c r="D192" s="2" t="n"/>
      <c r="E192" s="7" t="n"/>
      <c r="F192" s="7" t="n"/>
      <c r="G192" s="7" t="n"/>
      <c r="H192" s="7">
        <f>IF(E192="","",E192-F192-G192)</f>
        <v/>
      </c>
      <c r="I192" s="2" t="n"/>
      <c r="J192" s="2" t="n"/>
      <c r="K192" s="3" t="n"/>
      <c r="L192" s="2" t="n"/>
      <c r="M192" s="2" t="n"/>
      <c r="N192" s="2" t="n"/>
      <c r="O192" s="2" t="n"/>
    </row>
    <row r="193">
      <c r="A193" s="3" t="n"/>
      <c r="B193" s="2" t="n"/>
      <c r="C193" s="2" t="n"/>
      <c r="D193" s="2" t="n"/>
      <c r="E193" s="7" t="n"/>
      <c r="F193" s="7" t="n"/>
      <c r="G193" s="7" t="n"/>
      <c r="H193" s="7">
        <f>IF(E193="","",E193-F193-G193)</f>
        <v/>
      </c>
      <c r="I193" s="2" t="n"/>
      <c r="J193" s="2" t="n"/>
      <c r="K193" s="3" t="n"/>
      <c r="L193" s="2" t="n"/>
      <c r="M193" s="2" t="n"/>
      <c r="N193" s="2" t="n"/>
      <c r="O193" s="2" t="n"/>
    </row>
    <row r="194">
      <c r="A194" s="3" t="n"/>
      <c r="B194" s="2" t="n"/>
      <c r="C194" s="2" t="n"/>
      <c r="D194" s="2" t="n"/>
      <c r="E194" s="7" t="n"/>
      <c r="F194" s="7" t="n"/>
      <c r="G194" s="7" t="n"/>
      <c r="H194" s="7">
        <f>IF(E194="","",E194-F194-G194)</f>
        <v/>
      </c>
      <c r="I194" s="2" t="n"/>
      <c r="J194" s="2" t="n"/>
      <c r="K194" s="3" t="n"/>
      <c r="L194" s="2" t="n"/>
      <c r="M194" s="2" t="n"/>
      <c r="N194" s="2" t="n"/>
      <c r="O194" s="2" t="n"/>
    </row>
    <row r="195">
      <c r="A195" s="3" t="n"/>
      <c r="B195" s="2" t="n"/>
      <c r="C195" s="2" t="n"/>
      <c r="D195" s="2" t="n"/>
      <c r="E195" s="7" t="n"/>
      <c r="F195" s="7" t="n"/>
      <c r="G195" s="7" t="n"/>
      <c r="H195" s="7">
        <f>IF(E195="","",E195-F195-G195)</f>
        <v/>
      </c>
      <c r="I195" s="2" t="n"/>
      <c r="J195" s="2" t="n"/>
      <c r="K195" s="3" t="n"/>
      <c r="L195" s="2" t="n"/>
      <c r="M195" s="2" t="n"/>
      <c r="N195" s="2" t="n"/>
      <c r="O195" s="2" t="n"/>
    </row>
    <row r="196">
      <c r="A196" s="3" t="n"/>
      <c r="B196" s="2" t="n"/>
      <c r="C196" s="2" t="n"/>
      <c r="D196" s="2" t="n"/>
      <c r="E196" s="7" t="n"/>
      <c r="F196" s="7" t="n"/>
      <c r="G196" s="7" t="n"/>
      <c r="H196" s="7">
        <f>IF(E196="","",E196-F196-G196)</f>
        <v/>
      </c>
      <c r="I196" s="2" t="n"/>
      <c r="J196" s="2" t="n"/>
      <c r="K196" s="3" t="n"/>
      <c r="L196" s="2" t="n"/>
      <c r="M196" s="2" t="n"/>
      <c r="N196" s="2" t="n"/>
      <c r="O196" s="2" t="n"/>
    </row>
    <row r="197">
      <c r="A197" s="3" t="n"/>
      <c r="B197" s="2" t="n"/>
      <c r="C197" s="2" t="n"/>
      <c r="D197" s="2" t="n"/>
      <c r="E197" s="7" t="n"/>
      <c r="F197" s="7" t="n"/>
      <c r="G197" s="7" t="n"/>
      <c r="H197" s="7">
        <f>IF(E197="","",E197-F197-G197)</f>
        <v/>
      </c>
      <c r="I197" s="2" t="n"/>
      <c r="J197" s="2" t="n"/>
      <c r="K197" s="3" t="n"/>
      <c r="L197" s="2" t="n"/>
      <c r="M197" s="2" t="n"/>
      <c r="N197" s="2" t="n"/>
      <c r="O197" s="2" t="n"/>
    </row>
    <row r="198">
      <c r="A198" s="3" t="n"/>
      <c r="B198" s="2" t="n"/>
      <c r="C198" s="2" t="n"/>
      <c r="D198" s="2" t="n"/>
      <c r="E198" s="7" t="n"/>
      <c r="F198" s="7" t="n"/>
      <c r="G198" s="7" t="n"/>
      <c r="H198" s="7">
        <f>IF(E198="","",E198-F198-G198)</f>
        <v/>
      </c>
      <c r="I198" s="2" t="n"/>
      <c r="J198" s="2" t="n"/>
      <c r="K198" s="3" t="n"/>
      <c r="L198" s="2" t="n"/>
      <c r="M198" s="2" t="n"/>
      <c r="N198" s="2" t="n"/>
      <c r="O198" s="2" t="n"/>
    </row>
    <row r="199">
      <c r="A199" s="3" t="n"/>
      <c r="B199" s="2" t="n"/>
      <c r="C199" s="2" t="n"/>
      <c r="D199" s="2" t="n"/>
      <c r="E199" s="7" t="n"/>
      <c r="F199" s="7" t="n"/>
      <c r="G199" s="7" t="n"/>
      <c r="H199" s="7">
        <f>IF(E199="","",E199-F199-G199)</f>
        <v/>
      </c>
      <c r="I199" s="2" t="n"/>
      <c r="J199" s="2" t="n"/>
      <c r="K199" s="3" t="n"/>
      <c r="L199" s="2" t="n"/>
      <c r="M199" s="2" t="n"/>
      <c r="N199" s="2" t="n"/>
      <c r="O199" s="2" t="n"/>
    </row>
    <row r="200">
      <c r="A200" s="3" t="n"/>
      <c r="B200" s="2" t="n"/>
      <c r="C200" s="2" t="n"/>
      <c r="D200" s="2" t="n"/>
      <c r="E200" s="7" t="n"/>
      <c r="F200" s="7" t="n"/>
      <c r="G200" s="7" t="n"/>
      <c r="H200" s="7">
        <f>IF(E200="","",E200-F200-G200)</f>
        <v/>
      </c>
      <c r="I200" s="2" t="n"/>
      <c r="J200" s="2" t="n"/>
      <c r="K200" s="3" t="n"/>
      <c r="L200" s="2" t="n"/>
      <c r="M200" s="2" t="n"/>
      <c r="N200" s="2" t="n"/>
      <c r="O200" s="2" t="n"/>
    </row>
    <row r="201">
      <c r="A201" s="3" t="n"/>
      <c r="B201" s="2" t="n"/>
      <c r="C201" s="2" t="n"/>
      <c r="D201" s="2" t="n"/>
      <c r="E201" s="7" t="n"/>
      <c r="F201" s="7" t="n"/>
      <c r="G201" s="7" t="n"/>
      <c r="H201" s="7">
        <f>IF(E201="","",E201-F201-G201)</f>
        <v/>
      </c>
      <c r="I201" s="2" t="n"/>
      <c r="J201" s="2" t="n"/>
      <c r="K201" s="3" t="n"/>
      <c r="L201" s="2" t="n"/>
      <c r="M201" s="2" t="n"/>
      <c r="N201" s="2" t="n"/>
      <c r="O201" s="2" t="n"/>
    </row>
    <row r="202">
      <c r="A202" s="3" t="n"/>
      <c r="B202" s="2" t="n"/>
      <c r="C202" s="2" t="n"/>
      <c r="D202" s="2" t="n"/>
      <c r="E202" s="7" t="n"/>
      <c r="F202" s="7" t="n"/>
      <c r="G202" s="7" t="n"/>
      <c r="H202" s="7">
        <f>IF(E202="","",E202-F202-G202)</f>
        <v/>
      </c>
      <c r="I202" s="2" t="n"/>
      <c r="J202" s="2" t="n"/>
      <c r="K202" s="3" t="n"/>
      <c r="L202" s="2" t="n"/>
      <c r="M202" s="2" t="n"/>
      <c r="N202" s="2" t="n"/>
      <c r="O202" s="2" t="n"/>
    </row>
    <row r="203">
      <c r="A203" s="3" t="n"/>
      <c r="B203" s="2" t="n"/>
      <c r="C203" s="2" t="n"/>
      <c r="D203" s="2" t="n"/>
      <c r="E203" s="7" t="n"/>
      <c r="F203" s="7" t="n"/>
      <c r="G203" s="7" t="n"/>
      <c r="H203" s="7">
        <f>IF(E203="","",E203-F203-G203)</f>
        <v/>
      </c>
      <c r="I203" s="2" t="n"/>
      <c r="J203" s="2" t="n"/>
      <c r="K203" s="3" t="n"/>
      <c r="L203" s="2" t="n"/>
      <c r="M203" s="2" t="n"/>
      <c r="N203" s="2" t="n"/>
      <c r="O203" s="2" t="n"/>
    </row>
    <row r="204">
      <c r="A204" s="3" t="n"/>
      <c r="B204" s="2" t="n"/>
      <c r="C204" s="2" t="n"/>
      <c r="D204" s="2" t="n"/>
      <c r="E204" s="7" t="n"/>
      <c r="F204" s="7" t="n"/>
      <c r="G204" s="7" t="n"/>
      <c r="H204" s="7">
        <f>IF(E204="","",E204-F204-G204)</f>
        <v/>
      </c>
      <c r="I204" s="2" t="n"/>
      <c r="J204" s="2" t="n"/>
      <c r="K204" s="3" t="n"/>
      <c r="L204" s="2" t="n"/>
      <c r="M204" s="2" t="n"/>
      <c r="N204" s="2" t="n"/>
      <c r="O204" s="2" t="n"/>
    </row>
    <row r="205">
      <c r="A205" s="3" t="n"/>
      <c r="B205" s="2" t="n"/>
      <c r="C205" s="2" t="n"/>
      <c r="D205" s="2" t="n"/>
      <c r="E205" s="7" t="n"/>
      <c r="F205" s="7" t="n"/>
      <c r="G205" s="7" t="n"/>
      <c r="H205" s="7">
        <f>IF(E205="","",E205-F205-G205)</f>
        <v/>
      </c>
      <c r="I205" s="2" t="n"/>
      <c r="J205" s="2" t="n"/>
      <c r="K205" s="3" t="n"/>
      <c r="L205" s="2" t="n"/>
      <c r="M205" s="2" t="n"/>
      <c r="N205" s="2" t="n"/>
      <c r="O205" s="2" t="n"/>
    </row>
    <row r="206">
      <c r="A206" s="3" t="n"/>
      <c r="B206" s="2" t="n"/>
      <c r="C206" s="2" t="n"/>
      <c r="D206" s="2" t="n"/>
      <c r="E206" s="7" t="n"/>
      <c r="F206" s="7" t="n"/>
      <c r="G206" s="7" t="n"/>
      <c r="H206" s="7">
        <f>IF(E206="","",E206-F206-G206)</f>
        <v/>
      </c>
      <c r="I206" s="2" t="n"/>
      <c r="J206" s="2" t="n"/>
      <c r="K206" s="3" t="n"/>
      <c r="L206" s="2" t="n"/>
      <c r="M206" s="2" t="n"/>
      <c r="N206" s="2" t="n"/>
      <c r="O206" s="2" t="n"/>
    </row>
    <row r="207">
      <c r="A207" s="3" t="n"/>
      <c r="B207" s="2" t="n"/>
      <c r="C207" s="2" t="n"/>
      <c r="D207" s="2" t="n"/>
      <c r="E207" s="7" t="n"/>
      <c r="F207" s="7" t="n"/>
      <c r="G207" s="7" t="n"/>
      <c r="H207" s="7">
        <f>IF(E207="","",E207-F207-G207)</f>
        <v/>
      </c>
      <c r="I207" s="2" t="n"/>
      <c r="J207" s="2" t="n"/>
      <c r="K207" s="3" t="n"/>
      <c r="L207" s="2" t="n"/>
      <c r="M207" s="2" t="n"/>
      <c r="N207" s="2" t="n"/>
      <c r="O207" s="2" t="n"/>
    </row>
    <row r="208">
      <c r="A208" s="3" t="n"/>
      <c r="B208" s="2" t="n"/>
      <c r="C208" s="2" t="n"/>
      <c r="D208" s="2" t="n"/>
      <c r="E208" s="7" t="n"/>
      <c r="F208" s="7" t="n"/>
      <c r="G208" s="7" t="n"/>
      <c r="H208" s="7">
        <f>IF(E208="","",E208-F208-G208)</f>
        <v/>
      </c>
      <c r="I208" s="2" t="n"/>
      <c r="J208" s="2" t="n"/>
      <c r="K208" s="3" t="n"/>
      <c r="L208" s="2" t="n"/>
      <c r="M208" s="2" t="n"/>
      <c r="N208" s="2" t="n"/>
      <c r="O208" s="2" t="n"/>
    </row>
    <row r="209">
      <c r="A209" s="3" t="n"/>
      <c r="B209" s="2" t="n"/>
      <c r="C209" s="2" t="n"/>
      <c r="D209" s="2" t="n"/>
      <c r="E209" s="7" t="n"/>
      <c r="F209" s="7" t="n"/>
      <c r="G209" s="7" t="n"/>
      <c r="H209" s="7">
        <f>IF(E209="","",E209-F209-G209)</f>
        <v/>
      </c>
      <c r="I209" s="2" t="n"/>
      <c r="J209" s="2" t="n"/>
      <c r="K209" s="3" t="n"/>
      <c r="L209" s="2" t="n"/>
      <c r="M209" s="2" t="n"/>
      <c r="N209" s="2" t="n"/>
      <c r="O209" s="2" t="n"/>
    </row>
    <row r="210">
      <c r="A210" s="3" t="n"/>
      <c r="B210" s="2" t="n"/>
      <c r="C210" s="2" t="n"/>
      <c r="D210" s="2" t="n"/>
      <c r="E210" s="7" t="n"/>
      <c r="F210" s="7" t="n"/>
      <c r="G210" s="7" t="n"/>
      <c r="H210" s="7">
        <f>IF(E210="","",E210-F210-G210)</f>
        <v/>
      </c>
      <c r="I210" s="2" t="n"/>
      <c r="J210" s="2" t="n"/>
      <c r="K210" s="3" t="n"/>
      <c r="L210" s="2" t="n"/>
      <c r="M210" s="2" t="n"/>
      <c r="N210" s="2" t="n"/>
      <c r="O210" s="2" t="n"/>
    </row>
    <row r="211">
      <c r="A211" s="3" t="n"/>
      <c r="B211" s="2" t="n"/>
      <c r="C211" s="2" t="n"/>
      <c r="D211" s="2" t="n"/>
      <c r="E211" s="7" t="n"/>
      <c r="F211" s="7" t="n"/>
      <c r="G211" s="7" t="n"/>
      <c r="H211" s="7">
        <f>IF(E211="","",E211-F211-G211)</f>
        <v/>
      </c>
      <c r="I211" s="2" t="n"/>
      <c r="J211" s="2" t="n"/>
      <c r="K211" s="3" t="n"/>
      <c r="L211" s="2" t="n"/>
      <c r="M211" s="2" t="n"/>
      <c r="N211" s="2" t="n"/>
      <c r="O211" s="2" t="n"/>
    </row>
    <row r="212">
      <c r="A212" s="3" t="n"/>
      <c r="B212" s="2" t="n"/>
      <c r="C212" s="2" t="n"/>
      <c r="D212" s="2" t="n"/>
      <c r="E212" s="7" t="n"/>
      <c r="F212" s="7" t="n"/>
      <c r="G212" s="7" t="n"/>
      <c r="H212" s="7">
        <f>IF(E212="","",E212-F212-G212)</f>
        <v/>
      </c>
      <c r="I212" s="2" t="n"/>
      <c r="J212" s="2" t="n"/>
      <c r="K212" s="3" t="n"/>
      <c r="L212" s="2" t="n"/>
      <c r="M212" s="2" t="n"/>
      <c r="N212" s="2" t="n"/>
      <c r="O212" s="2" t="n"/>
    </row>
    <row r="213">
      <c r="A213" s="3" t="n"/>
      <c r="B213" s="2" t="n"/>
      <c r="C213" s="2" t="n"/>
      <c r="D213" s="2" t="n"/>
      <c r="E213" s="7" t="n"/>
      <c r="F213" s="7" t="n"/>
      <c r="G213" s="7" t="n"/>
      <c r="H213" s="7">
        <f>IF(E213="","",E213-F213-G213)</f>
        <v/>
      </c>
      <c r="I213" s="2" t="n"/>
      <c r="J213" s="2" t="n"/>
      <c r="K213" s="3" t="n"/>
      <c r="L213" s="2" t="n"/>
      <c r="M213" s="2" t="n"/>
      <c r="N213" s="2" t="n"/>
      <c r="O213" s="2" t="n"/>
    </row>
    <row r="214">
      <c r="A214" s="3" t="n"/>
      <c r="B214" s="2" t="n"/>
      <c r="C214" s="2" t="n"/>
      <c r="D214" s="2" t="n"/>
      <c r="E214" s="7" t="n"/>
      <c r="F214" s="7" t="n"/>
      <c r="G214" s="7" t="n"/>
      <c r="H214" s="7">
        <f>IF(E214="","",E214-F214-G214)</f>
        <v/>
      </c>
      <c r="I214" s="2" t="n"/>
      <c r="J214" s="2" t="n"/>
      <c r="K214" s="3" t="n"/>
      <c r="L214" s="2" t="n"/>
      <c r="M214" s="2" t="n"/>
      <c r="N214" s="2" t="n"/>
      <c r="O214" s="2" t="n"/>
    </row>
    <row r="215">
      <c r="A215" s="3" t="n"/>
      <c r="B215" s="2" t="n"/>
      <c r="C215" s="2" t="n"/>
      <c r="D215" s="2" t="n"/>
      <c r="E215" s="7" t="n"/>
      <c r="F215" s="7" t="n"/>
      <c r="G215" s="7" t="n"/>
      <c r="H215" s="7">
        <f>IF(E215="","",E215-F215-G215)</f>
        <v/>
      </c>
      <c r="I215" s="2" t="n"/>
      <c r="J215" s="2" t="n"/>
      <c r="K215" s="3" t="n"/>
      <c r="L215" s="2" t="n"/>
      <c r="M215" s="2" t="n"/>
      <c r="N215" s="2" t="n"/>
      <c r="O215" s="2" t="n"/>
    </row>
    <row r="216">
      <c r="A216" s="3" t="n"/>
      <c r="B216" s="2" t="n"/>
      <c r="C216" s="2" t="n"/>
      <c r="D216" s="2" t="n"/>
      <c r="E216" s="7" t="n"/>
      <c r="F216" s="7" t="n"/>
      <c r="G216" s="7" t="n"/>
      <c r="H216" s="7">
        <f>IF(E216="","",E216-F216-G216)</f>
        <v/>
      </c>
      <c r="I216" s="2" t="n"/>
      <c r="J216" s="2" t="n"/>
      <c r="K216" s="3" t="n"/>
      <c r="L216" s="2" t="n"/>
      <c r="M216" s="2" t="n"/>
      <c r="N216" s="2" t="n"/>
      <c r="O216" s="2" t="n"/>
    </row>
    <row r="217">
      <c r="A217" s="3" t="n"/>
      <c r="B217" s="2" t="n"/>
      <c r="C217" s="2" t="n"/>
      <c r="D217" s="2" t="n"/>
      <c r="E217" s="7" t="n"/>
      <c r="F217" s="7" t="n"/>
      <c r="G217" s="7" t="n"/>
      <c r="H217" s="7">
        <f>IF(E217="","",E217-F217-G217)</f>
        <v/>
      </c>
      <c r="I217" s="2" t="n"/>
      <c r="J217" s="2" t="n"/>
      <c r="K217" s="3" t="n"/>
      <c r="L217" s="2" t="n"/>
      <c r="M217" s="2" t="n"/>
      <c r="N217" s="2" t="n"/>
      <c r="O217" s="2" t="n"/>
    </row>
    <row r="218">
      <c r="A218" s="3" t="n"/>
      <c r="B218" s="2" t="n"/>
      <c r="C218" s="2" t="n"/>
      <c r="D218" s="2" t="n"/>
      <c r="E218" s="7" t="n"/>
      <c r="F218" s="7" t="n"/>
      <c r="G218" s="7" t="n"/>
      <c r="H218" s="7">
        <f>IF(E218="","",E218-F218-G218)</f>
        <v/>
      </c>
      <c r="I218" s="2" t="n"/>
      <c r="J218" s="2" t="n"/>
      <c r="K218" s="3" t="n"/>
      <c r="L218" s="2" t="n"/>
      <c r="M218" s="2" t="n"/>
      <c r="N218" s="2" t="n"/>
      <c r="O218" s="2" t="n"/>
    </row>
    <row r="219">
      <c r="A219" s="3" t="n"/>
      <c r="B219" s="2" t="n"/>
      <c r="C219" s="2" t="n"/>
      <c r="D219" s="2" t="n"/>
      <c r="E219" s="7" t="n"/>
      <c r="F219" s="7" t="n"/>
      <c r="G219" s="7" t="n"/>
      <c r="H219" s="7">
        <f>IF(E219="","",E219-F219-G219)</f>
        <v/>
      </c>
      <c r="I219" s="2" t="n"/>
      <c r="J219" s="2" t="n"/>
      <c r="K219" s="3" t="n"/>
      <c r="L219" s="2" t="n"/>
      <c r="M219" s="2" t="n"/>
      <c r="N219" s="2" t="n"/>
      <c r="O219" s="2" t="n"/>
    </row>
    <row r="220">
      <c r="A220" s="3" t="n"/>
      <c r="B220" s="2" t="n"/>
      <c r="C220" s="2" t="n"/>
      <c r="D220" s="2" t="n"/>
      <c r="E220" s="7" t="n"/>
      <c r="F220" s="7" t="n"/>
      <c r="G220" s="7" t="n"/>
      <c r="H220" s="7">
        <f>IF(E220="","",E220-F220-G220)</f>
        <v/>
      </c>
      <c r="I220" s="2" t="n"/>
      <c r="J220" s="2" t="n"/>
      <c r="K220" s="3" t="n"/>
      <c r="L220" s="2" t="n"/>
      <c r="M220" s="2" t="n"/>
      <c r="N220" s="2" t="n"/>
      <c r="O220" s="2" t="n"/>
    </row>
    <row r="221">
      <c r="A221" s="3" t="n"/>
      <c r="B221" s="2" t="n"/>
      <c r="C221" s="2" t="n"/>
      <c r="D221" s="2" t="n"/>
      <c r="E221" s="7" t="n"/>
      <c r="F221" s="7" t="n"/>
      <c r="G221" s="7" t="n"/>
      <c r="H221" s="7">
        <f>IF(E221="","",E221-F221-G221)</f>
        <v/>
      </c>
      <c r="I221" s="2" t="n"/>
      <c r="J221" s="2" t="n"/>
      <c r="K221" s="3" t="n"/>
      <c r="L221" s="2" t="n"/>
      <c r="M221" s="2" t="n"/>
      <c r="N221" s="2" t="n"/>
      <c r="O221" s="2" t="n"/>
    </row>
    <row r="222">
      <c r="A222" s="3" t="n"/>
      <c r="B222" s="2" t="n"/>
      <c r="C222" s="2" t="n"/>
      <c r="D222" s="2" t="n"/>
      <c r="E222" s="7" t="n"/>
      <c r="F222" s="7" t="n"/>
      <c r="G222" s="7" t="n"/>
      <c r="H222" s="7">
        <f>IF(E222="","",E222-F222-G222)</f>
        <v/>
      </c>
      <c r="I222" s="2" t="n"/>
      <c r="J222" s="2" t="n"/>
      <c r="K222" s="3" t="n"/>
      <c r="L222" s="2" t="n"/>
      <c r="M222" s="2" t="n"/>
      <c r="N222" s="2" t="n"/>
      <c r="O222" s="2" t="n"/>
    </row>
    <row r="223">
      <c r="A223" s="3" t="n"/>
      <c r="B223" s="2" t="n"/>
      <c r="C223" s="2" t="n"/>
      <c r="D223" s="2" t="n"/>
      <c r="E223" s="7" t="n"/>
      <c r="F223" s="7" t="n"/>
      <c r="G223" s="7" t="n"/>
      <c r="H223" s="7">
        <f>IF(E223="","",E223-F223-G223)</f>
        <v/>
      </c>
      <c r="I223" s="2" t="n"/>
      <c r="J223" s="2" t="n"/>
      <c r="K223" s="3" t="n"/>
      <c r="L223" s="2" t="n"/>
      <c r="M223" s="2" t="n"/>
      <c r="N223" s="2" t="n"/>
      <c r="O223" s="2" t="n"/>
    </row>
    <row r="224">
      <c r="A224" s="3" t="n"/>
      <c r="B224" s="2" t="n"/>
      <c r="C224" s="2" t="n"/>
      <c r="D224" s="2" t="n"/>
      <c r="E224" s="7" t="n"/>
      <c r="F224" s="7" t="n"/>
      <c r="G224" s="7" t="n"/>
      <c r="H224" s="7">
        <f>IF(E224="","",E224-F224-G224)</f>
        <v/>
      </c>
      <c r="I224" s="2" t="n"/>
      <c r="J224" s="2" t="n"/>
      <c r="K224" s="3" t="n"/>
      <c r="L224" s="2" t="n"/>
      <c r="M224" s="2" t="n"/>
      <c r="N224" s="2" t="n"/>
      <c r="O224" s="2" t="n"/>
    </row>
    <row r="225">
      <c r="A225" s="3" t="n"/>
      <c r="B225" s="2" t="n"/>
      <c r="C225" s="2" t="n"/>
      <c r="D225" s="2" t="n"/>
      <c r="E225" s="7" t="n"/>
      <c r="F225" s="7" t="n"/>
      <c r="G225" s="7" t="n"/>
      <c r="H225" s="7">
        <f>IF(E225="","",E225-F225-G225)</f>
        <v/>
      </c>
      <c r="I225" s="2" t="n"/>
      <c r="J225" s="2" t="n"/>
      <c r="K225" s="3" t="n"/>
      <c r="L225" s="2" t="n"/>
      <c r="M225" s="2" t="n"/>
      <c r="N225" s="2" t="n"/>
      <c r="O225" s="2" t="n"/>
    </row>
    <row r="226">
      <c r="A226" s="3" t="n"/>
      <c r="B226" s="2" t="n"/>
      <c r="C226" s="2" t="n"/>
      <c r="D226" s="2" t="n"/>
      <c r="E226" s="7" t="n"/>
      <c r="F226" s="7" t="n"/>
      <c r="G226" s="7" t="n"/>
      <c r="H226" s="7">
        <f>IF(E226="","",E226-F226-G226)</f>
        <v/>
      </c>
      <c r="I226" s="2" t="n"/>
      <c r="J226" s="2" t="n"/>
      <c r="K226" s="3" t="n"/>
      <c r="L226" s="2" t="n"/>
      <c r="M226" s="2" t="n"/>
      <c r="N226" s="2" t="n"/>
      <c r="O226" s="2" t="n"/>
    </row>
    <row r="227">
      <c r="A227" s="3" t="n"/>
      <c r="B227" s="2" t="n"/>
      <c r="C227" s="2" t="n"/>
      <c r="D227" s="2" t="n"/>
      <c r="E227" s="7" t="n"/>
      <c r="F227" s="7" t="n"/>
      <c r="G227" s="7" t="n"/>
      <c r="H227" s="7">
        <f>IF(E227="","",E227-F227-G227)</f>
        <v/>
      </c>
      <c r="I227" s="2" t="n"/>
      <c r="J227" s="2" t="n"/>
      <c r="K227" s="3" t="n"/>
      <c r="L227" s="2" t="n"/>
      <c r="M227" s="2" t="n"/>
      <c r="N227" s="2" t="n"/>
      <c r="O227" s="2" t="n"/>
    </row>
    <row r="228">
      <c r="A228" s="3" t="n"/>
      <c r="B228" s="2" t="n"/>
      <c r="C228" s="2" t="n"/>
      <c r="D228" s="2" t="n"/>
      <c r="E228" s="7" t="n"/>
      <c r="F228" s="7" t="n"/>
      <c r="G228" s="7" t="n"/>
      <c r="H228" s="7">
        <f>IF(E228="","",E228-F228-G228)</f>
        <v/>
      </c>
      <c r="I228" s="2" t="n"/>
      <c r="J228" s="2" t="n"/>
      <c r="K228" s="3" t="n"/>
      <c r="L228" s="2" t="n"/>
      <c r="M228" s="2" t="n"/>
      <c r="N228" s="2" t="n"/>
      <c r="O228" s="2" t="n"/>
    </row>
    <row r="229">
      <c r="A229" s="3" t="n"/>
      <c r="B229" s="2" t="n"/>
      <c r="C229" s="2" t="n"/>
      <c r="D229" s="2" t="n"/>
      <c r="E229" s="7" t="n"/>
      <c r="F229" s="7" t="n"/>
      <c r="G229" s="7" t="n"/>
      <c r="H229" s="7">
        <f>IF(E229="","",E229-F229-G229)</f>
        <v/>
      </c>
      <c r="I229" s="2" t="n"/>
      <c r="J229" s="2" t="n"/>
      <c r="K229" s="3" t="n"/>
      <c r="L229" s="2" t="n"/>
      <c r="M229" s="2" t="n"/>
      <c r="N229" s="2" t="n"/>
      <c r="O229" s="2" t="n"/>
    </row>
    <row r="230">
      <c r="A230" s="3" t="n"/>
      <c r="B230" s="2" t="n"/>
      <c r="C230" s="2" t="n"/>
      <c r="D230" s="2" t="n"/>
      <c r="E230" s="7" t="n"/>
      <c r="F230" s="7" t="n"/>
      <c r="G230" s="7" t="n"/>
      <c r="H230" s="7">
        <f>IF(E230="","",E230-F230-G230)</f>
        <v/>
      </c>
      <c r="I230" s="2" t="n"/>
      <c r="J230" s="2" t="n"/>
      <c r="K230" s="3" t="n"/>
      <c r="L230" s="2" t="n"/>
      <c r="M230" s="2" t="n"/>
      <c r="N230" s="2" t="n"/>
      <c r="O230" s="2" t="n"/>
    </row>
    <row r="231">
      <c r="A231" s="3" t="n"/>
      <c r="B231" s="2" t="n"/>
      <c r="C231" s="2" t="n"/>
      <c r="D231" s="2" t="n"/>
      <c r="E231" s="7" t="n"/>
      <c r="F231" s="7" t="n"/>
      <c r="G231" s="7" t="n"/>
      <c r="H231" s="7">
        <f>IF(E231="","",E231-F231-G231)</f>
        <v/>
      </c>
      <c r="I231" s="2" t="n"/>
      <c r="J231" s="2" t="n"/>
      <c r="K231" s="3" t="n"/>
      <c r="L231" s="2" t="n"/>
      <c r="M231" s="2" t="n"/>
      <c r="N231" s="2" t="n"/>
      <c r="O231" s="2" t="n"/>
    </row>
    <row r="232">
      <c r="A232" s="3" t="n"/>
      <c r="B232" s="2" t="n"/>
      <c r="C232" s="2" t="n"/>
      <c r="D232" s="2" t="n"/>
      <c r="E232" s="7" t="n"/>
      <c r="F232" s="7" t="n"/>
      <c r="G232" s="7" t="n"/>
      <c r="H232" s="7">
        <f>IF(E232="","",E232-F232-G232)</f>
        <v/>
      </c>
      <c r="I232" s="2" t="n"/>
      <c r="J232" s="2" t="n"/>
      <c r="K232" s="3" t="n"/>
      <c r="L232" s="2" t="n"/>
      <c r="M232" s="2" t="n"/>
      <c r="N232" s="2" t="n"/>
      <c r="O232" s="2" t="n"/>
    </row>
    <row r="233">
      <c r="A233" s="3" t="n"/>
      <c r="B233" s="2" t="n"/>
      <c r="C233" s="2" t="n"/>
      <c r="D233" s="2" t="n"/>
      <c r="E233" s="7" t="n"/>
      <c r="F233" s="7" t="n"/>
      <c r="G233" s="7" t="n"/>
      <c r="H233" s="7">
        <f>IF(E233="","",E233-F233-G233)</f>
        <v/>
      </c>
      <c r="I233" s="2" t="n"/>
      <c r="J233" s="2" t="n"/>
      <c r="K233" s="3" t="n"/>
      <c r="L233" s="2" t="n"/>
      <c r="M233" s="2" t="n"/>
      <c r="N233" s="2" t="n"/>
      <c r="O233" s="2" t="n"/>
    </row>
    <row r="234">
      <c r="A234" s="3" t="n"/>
      <c r="B234" s="2" t="n"/>
      <c r="C234" s="2" t="n"/>
      <c r="D234" s="2" t="n"/>
      <c r="E234" s="7" t="n"/>
      <c r="F234" s="7" t="n"/>
      <c r="G234" s="7" t="n"/>
      <c r="H234" s="7">
        <f>IF(E234="","",E234-F234-G234)</f>
        <v/>
      </c>
      <c r="I234" s="2" t="n"/>
      <c r="J234" s="2" t="n"/>
      <c r="K234" s="3" t="n"/>
      <c r="L234" s="2" t="n"/>
      <c r="M234" s="2" t="n"/>
      <c r="N234" s="2" t="n"/>
      <c r="O234" s="2" t="n"/>
    </row>
    <row r="235">
      <c r="A235" s="3" t="n"/>
      <c r="B235" s="2" t="n"/>
      <c r="C235" s="2" t="n"/>
      <c r="D235" s="2" t="n"/>
      <c r="E235" s="7" t="n"/>
      <c r="F235" s="7" t="n"/>
      <c r="G235" s="7" t="n"/>
      <c r="H235" s="7">
        <f>IF(E235="","",E235-F235-G235)</f>
        <v/>
      </c>
      <c r="I235" s="2" t="n"/>
      <c r="J235" s="2" t="n"/>
      <c r="K235" s="3" t="n"/>
      <c r="L235" s="2" t="n"/>
      <c r="M235" s="2" t="n"/>
      <c r="N235" s="2" t="n"/>
      <c r="O235" s="2" t="n"/>
    </row>
    <row r="236">
      <c r="A236" s="3" t="n"/>
      <c r="B236" s="2" t="n"/>
      <c r="C236" s="2" t="n"/>
      <c r="D236" s="2" t="n"/>
      <c r="E236" s="7" t="n"/>
      <c r="F236" s="7" t="n"/>
      <c r="G236" s="7" t="n"/>
      <c r="H236" s="7">
        <f>IF(E236="","",E236-F236-G236)</f>
        <v/>
      </c>
      <c r="I236" s="2" t="n"/>
      <c r="J236" s="2" t="n"/>
      <c r="K236" s="3" t="n"/>
      <c r="L236" s="2" t="n"/>
      <c r="M236" s="2" t="n"/>
      <c r="N236" s="2" t="n"/>
      <c r="O236" s="2" t="n"/>
    </row>
    <row r="237">
      <c r="A237" s="3" t="n"/>
      <c r="B237" s="2" t="n"/>
      <c r="C237" s="2" t="n"/>
      <c r="D237" s="2" t="n"/>
      <c r="E237" s="7" t="n"/>
      <c r="F237" s="7" t="n"/>
      <c r="G237" s="7" t="n"/>
      <c r="H237" s="7">
        <f>IF(E237="","",E237-F237-G237)</f>
        <v/>
      </c>
      <c r="I237" s="2" t="n"/>
      <c r="J237" s="2" t="n"/>
      <c r="K237" s="3" t="n"/>
      <c r="L237" s="2" t="n"/>
      <c r="M237" s="2" t="n"/>
      <c r="N237" s="2" t="n"/>
      <c r="O237" s="2" t="n"/>
    </row>
    <row r="238">
      <c r="A238" s="3" t="n"/>
      <c r="B238" s="2" t="n"/>
      <c r="C238" s="2" t="n"/>
      <c r="D238" s="2" t="n"/>
      <c r="E238" s="7" t="n"/>
      <c r="F238" s="7" t="n"/>
      <c r="G238" s="7" t="n"/>
      <c r="H238" s="7">
        <f>IF(E238="","",E238-F238-G238)</f>
        <v/>
      </c>
      <c r="I238" s="2" t="n"/>
      <c r="J238" s="2" t="n"/>
      <c r="K238" s="3" t="n"/>
      <c r="L238" s="2" t="n"/>
      <c r="M238" s="2" t="n"/>
      <c r="N238" s="2" t="n"/>
      <c r="O238" s="2" t="n"/>
    </row>
    <row r="239">
      <c r="A239" s="3" t="n"/>
      <c r="B239" s="2" t="n"/>
      <c r="C239" s="2" t="n"/>
      <c r="D239" s="2" t="n"/>
      <c r="E239" s="7" t="n"/>
      <c r="F239" s="7" t="n"/>
      <c r="G239" s="7" t="n"/>
      <c r="H239" s="7">
        <f>IF(E239="","",E239-F239-G239)</f>
        <v/>
      </c>
      <c r="I239" s="2" t="n"/>
      <c r="J239" s="2" t="n"/>
      <c r="K239" s="3" t="n"/>
      <c r="L239" s="2" t="n"/>
      <c r="M239" s="2" t="n"/>
      <c r="N239" s="2" t="n"/>
      <c r="O239" s="2" t="n"/>
    </row>
    <row r="240">
      <c r="A240" s="3" t="n"/>
      <c r="B240" s="2" t="n"/>
      <c r="C240" s="2" t="n"/>
      <c r="D240" s="2" t="n"/>
      <c r="E240" s="7" t="n"/>
      <c r="F240" s="7" t="n"/>
      <c r="G240" s="7" t="n"/>
      <c r="H240" s="7">
        <f>IF(E240="","",E240-F240-G240)</f>
        <v/>
      </c>
      <c r="I240" s="2" t="n"/>
      <c r="J240" s="2" t="n"/>
      <c r="K240" s="3" t="n"/>
      <c r="L240" s="2" t="n"/>
      <c r="M240" s="2" t="n"/>
      <c r="N240" s="2" t="n"/>
      <c r="O240" s="2" t="n"/>
    </row>
    <row r="241">
      <c r="A241" s="3" t="n"/>
      <c r="B241" s="2" t="n"/>
      <c r="C241" s="2" t="n"/>
      <c r="D241" s="2" t="n"/>
      <c r="E241" s="7" t="n"/>
      <c r="F241" s="7" t="n"/>
      <c r="G241" s="7" t="n"/>
      <c r="H241" s="7">
        <f>IF(E241="","",E241-F241-G241)</f>
        <v/>
      </c>
      <c r="I241" s="2" t="n"/>
      <c r="J241" s="2" t="n"/>
      <c r="K241" s="3" t="n"/>
      <c r="L241" s="2" t="n"/>
      <c r="M241" s="2" t="n"/>
      <c r="N241" s="2" t="n"/>
      <c r="O241" s="2" t="n"/>
    </row>
    <row r="242">
      <c r="A242" s="3" t="n"/>
      <c r="B242" s="2" t="n"/>
      <c r="C242" s="2" t="n"/>
      <c r="D242" s="2" t="n"/>
      <c r="E242" s="7" t="n"/>
      <c r="F242" s="7" t="n"/>
      <c r="G242" s="7" t="n"/>
      <c r="H242" s="7">
        <f>IF(E242="","",E242-F242-G242)</f>
        <v/>
      </c>
      <c r="I242" s="2" t="n"/>
      <c r="J242" s="2" t="n"/>
      <c r="K242" s="3" t="n"/>
      <c r="L242" s="2" t="n"/>
      <c r="M242" s="2" t="n"/>
      <c r="N242" s="2" t="n"/>
      <c r="O242" s="2" t="n"/>
    </row>
    <row r="243">
      <c r="A243" s="3" t="n"/>
      <c r="B243" s="2" t="n"/>
      <c r="C243" s="2" t="n"/>
      <c r="D243" s="2" t="n"/>
      <c r="E243" s="7" t="n"/>
      <c r="F243" s="7" t="n"/>
      <c r="G243" s="7" t="n"/>
      <c r="H243" s="7">
        <f>IF(E243="","",E243-F243-G243)</f>
        <v/>
      </c>
      <c r="I243" s="2" t="n"/>
      <c r="J243" s="2" t="n"/>
      <c r="K243" s="3" t="n"/>
      <c r="L243" s="2" t="n"/>
      <c r="M243" s="2" t="n"/>
      <c r="N243" s="2" t="n"/>
      <c r="O243" s="2" t="n"/>
    </row>
    <row r="244">
      <c r="A244" s="3" t="n"/>
      <c r="B244" s="2" t="n"/>
      <c r="C244" s="2" t="n"/>
      <c r="D244" s="2" t="n"/>
      <c r="E244" s="7" t="n"/>
      <c r="F244" s="7" t="n"/>
      <c r="G244" s="7" t="n"/>
      <c r="H244" s="7">
        <f>IF(E244="","",E244-F244-G244)</f>
        <v/>
      </c>
      <c r="I244" s="2" t="n"/>
      <c r="J244" s="2" t="n"/>
      <c r="K244" s="3" t="n"/>
      <c r="L244" s="2" t="n"/>
      <c r="M244" s="2" t="n"/>
      <c r="N244" s="2" t="n"/>
      <c r="O244" s="2" t="n"/>
    </row>
    <row r="245">
      <c r="A245" s="3" t="n"/>
      <c r="B245" s="2" t="n"/>
      <c r="C245" s="2" t="n"/>
      <c r="D245" s="2" t="n"/>
      <c r="E245" s="7" t="n"/>
      <c r="F245" s="7" t="n"/>
      <c r="G245" s="7" t="n"/>
      <c r="H245" s="7">
        <f>IF(E245="","",E245-F245-G245)</f>
        <v/>
      </c>
      <c r="I245" s="2" t="n"/>
      <c r="J245" s="2" t="n"/>
      <c r="K245" s="3" t="n"/>
      <c r="L245" s="2" t="n"/>
      <c r="M245" s="2" t="n"/>
      <c r="N245" s="2" t="n"/>
      <c r="O245" s="2" t="n"/>
    </row>
    <row r="246">
      <c r="A246" s="3" t="n"/>
      <c r="B246" s="2" t="n"/>
      <c r="C246" s="2" t="n"/>
      <c r="D246" s="2" t="n"/>
      <c r="E246" s="7" t="n"/>
      <c r="F246" s="7" t="n"/>
      <c r="G246" s="7" t="n"/>
      <c r="H246" s="7">
        <f>IF(E246="","",E246-F246-G246)</f>
        <v/>
      </c>
      <c r="I246" s="2" t="n"/>
      <c r="J246" s="2" t="n"/>
      <c r="K246" s="3" t="n"/>
      <c r="L246" s="2" t="n"/>
      <c r="M246" s="2" t="n"/>
      <c r="N246" s="2" t="n"/>
      <c r="O246" s="2" t="n"/>
    </row>
    <row r="247">
      <c r="A247" s="3" t="n"/>
      <c r="B247" s="2" t="n"/>
      <c r="C247" s="2" t="n"/>
      <c r="D247" s="2" t="n"/>
      <c r="E247" s="7" t="n"/>
      <c r="F247" s="7" t="n"/>
      <c r="G247" s="7" t="n"/>
      <c r="H247" s="7">
        <f>IF(E247="","",E247-F247-G247)</f>
        <v/>
      </c>
      <c r="I247" s="2" t="n"/>
      <c r="J247" s="2" t="n"/>
      <c r="K247" s="3" t="n"/>
      <c r="L247" s="2" t="n"/>
      <c r="M247" s="2" t="n"/>
      <c r="N247" s="2" t="n"/>
      <c r="O247" s="2" t="n"/>
    </row>
    <row r="248">
      <c r="A248" s="3" t="n"/>
      <c r="B248" s="2" t="n"/>
      <c r="C248" s="2" t="n"/>
      <c r="D248" s="2" t="n"/>
      <c r="E248" s="7" t="n"/>
      <c r="F248" s="7" t="n"/>
      <c r="G248" s="7" t="n"/>
      <c r="H248" s="7">
        <f>IF(E248="","",E248-F248-G248)</f>
        <v/>
      </c>
      <c r="I248" s="2" t="n"/>
      <c r="J248" s="2" t="n"/>
      <c r="K248" s="3" t="n"/>
      <c r="L248" s="2" t="n"/>
      <c r="M248" s="2" t="n"/>
      <c r="N248" s="2" t="n"/>
      <c r="O248" s="2" t="n"/>
    </row>
    <row r="249">
      <c r="A249" s="3" t="n"/>
      <c r="B249" s="2" t="n"/>
      <c r="C249" s="2" t="n"/>
      <c r="D249" s="2" t="n"/>
      <c r="E249" s="7" t="n"/>
      <c r="F249" s="7" t="n"/>
      <c r="G249" s="7" t="n"/>
      <c r="H249" s="7">
        <f>IF(E249="","",E249-F249-G249)</f>
        <v/>
      </c>
      <c r="I249" s="2" t="n"/>
      <c r="J249" s="2" t="n"/>
      <c r="K249" s="3" t="n"/>
      <c r="L249" s="2" t="n"/>
      <c r="M249" s="2" t="n"/>
      <c r="N249" s="2" t="n"/>
      <c r="O249" s="2" t="n"/>
    </row>
    <row r="250">
      <c r="A250" s="3" t="n"/>
      <c r="B250" s="2" t="n"/>
      <c r="C250" s="2" t="n"/>
      <c r="D250" s="2" t="n"/>
      <c r="E250" s="7" t="n"/>
      <c r="F250" s="7" t="n"/>
      <c r="G250" s="7" t="n"/>
      <c r="H250" s="7">
        <f>IF(E250="","",E250-F250-G250)</f>
        <v/>
      </c>
      <c r="I250" s="2" t="n"/>
      <c r="J250" s="2" t="n"/>
      <c r="K250" s="3" t="n"/>
      <c r="L250" s="2" t="n"/>
      <c r="M250" s="2" t="n"/>
      <c r="N250" s="2" t="n"/>
      <c r="O250" s="2" t="n"/>
    </row>
    <row r="251">
      <c r="A251" s="3" t="n"/>
      <c r="B251" s="2" t="n"/>
      <c r="C251" s="2" t="n"/>
      <c r="D251" s="2" t="n"/>
      <c r="E251" s="7" t="n"/>
      <c r="F251" s="7" t="n"/>
      <c r="G251" s="7" t="n"/>
      <c r="H251" s="7">
        <f>IF(E251="","",E251-F251-G251)</f>
        <v/>
      </c>
      <c r="I251" s="2" t="n"/>
      <c r="J251" s="2" t="n"/>
      <c r="K251" s="3" t="n"/>
      <c r="L251" s="2" t="n"/>
      <c r="M251" s="2" t="n"/>
      <c r="N251" s="2" t="n"/>
      <c r="O251" s="2" t="n"/>
    </row>
    <row r="252">
      <c r="A252" s="3" t="n"/>
      <c r="B252" s="2" t="n"/>
      <c r="C252" s="2" t="n"/>
      <c r="D252" s="2" t="n"/>
      <c r="E252" s="7" t="n"/>
      <c r="F252" s="7" t="n"/>
      <c r="G252" s="7" t="n"/>
      <c r="H252" s="7">
        <f>IF(E252="","",E252-F252-G252)</f>
        <v/>
      </c>
      <c r="I252" s="2" t="n"/>
      <c r="J252" s="2" t="n"/>
      <c r="K252" s="3" t="n"/>
      <c r="L252" s="2" t="n"/>
      <c r="M252" s="2" t="n"/>
      <c r="N252" s="2" t="n"/>
      <c r="O252" s="2" t="n"/>
    </row>
    <row r="253">
      <c r="A253" s="3" t="n"/>
      <c r="B253" s="2" t="n"/>
      <c r="C253" s="2" t="n"/>
      <c r="D253" s="2" t="n"/>
      <c r="E253" s="7" t="n"/>
      <c r="F253" s="7" t="n"/>
      <c r="G253" s="7" t="n"/>
      <c r="H253" s="7">
        <f>IF(E253="","",E253-F253-G253)</f>
        <v/>
      </c>
      <c r="I253" s="2" t="n"/>
      <c r="J253" s="2" t="n"/>
      <c r="K253" s="3" t="n"/>
      <c r="L253" s="2" t="n"/>
      <c r="M253" s="2" t="n"/>
      <c r="N253" s="2" t="n"/>
      <c r="O253" s="2" t="n"/>
    </row>
    <row r="254">
      <c r="A254" s="3" t="n"/>
      <c r="B254" s="2" t="n"/>
      <c r="C254" s="2" t="n"/>
      <c r="D254" s="2" t="n"/>
      <c r="E254" s="7" t="n"/>
      <c r="F254" s="7" t="n"/>
      <c r="G254" s="7" t="n"/>
      <c r="H254" s="7">
        <f>IF(E254="","",E254-F254-G254)</f>
        <v/>
      </c>
      <c r="I254" s="2" t="n"/>
      <c r="J254" s="2" t="n"/>
      <c r="K254" s="3" t="n"/>
      <c r="L254" s="2" t="n"/>
      <c r="M254" s="2" t="n"/>
      <c r="N254" s="2" t="n"/>
      <c r="O254" s="2" t="n"/>
    </row>
    <row r="255">
      <c r="A255" s="3" t="n"/>
      <c r="B255" s="2" t="n"/>
      <c r="C255" s="2" t="n"/>
      <c r="D255" s="2" t="n"/>
      <c r="E255" s="7" t="n"/>
      <c r="F255" s="7" t="n"/>
      <c r="G255" s="7" t="n"/>
      <c r="H255" s="7">
        <f>IF(E255="","",E255-F255-G255)</f>
        <v/>
      </c>
      <c r="I255" s="2" t="n"/>
      <c r="J255" s="2" t="n"/>
      <c r="K255" s="3" t="n"/>
      <c r="L255" s="2" t="n"/>
      <c r="M255" s="2" t="n"/>
      <c r="N255" s="2" t="n"/>
      <c r="O255" s="2" t="n"/>
    </row>
    <row r="256">
      <c r="A256" s="3" t="n"/>
      <c r="B256" s="2" t="n"/>
      <c r="C256" s="2" t="n"/>
      <c r="D256" s="2" t="n"/>
      <c r="E256" s="7" t="n"/>
      <c r="F256" s="7" t="n"/>
      <c r="G256" s="7" t="n"/>
      <c r="H256" s="7">
        <f>IF(E256="","",E256-F256-G256)</f>
        <v/>
      </c>
      <c r="I256" s="2" t="n"/>
      <c r="J256" s="2" t="n"/>
      <c r="K256" s="3" t="n"/>
      <c r="L256" s="2" t="n"/>
      <c r="M256" s="2" t="n"/>
      <c r="N256" s="2" t="n"/>
      <c r="O256" s="2" t="n"/>
    </row>
    <row r="257">
      <c r="A257" s="3" t="n"/>
      <c r="B257" s="2" t="n"/>
      <c r="C257" s="2" t="n"/>
      <c r="D257" s="2" t="n"/>
      <c r="E257" s="7" t="n"/>
      <c r="F257" s="7" t="n"/>
      <c r="G257" s="7" t="n"/>
      <c r="H257" s="7">
        <f>IF(E257="","",E257-F257-G257)</f>
        <v/>
      </c>
      <c r="I257" s="2" t="n"/>
      <c r="J257" s="2" t="n"/>
      <c r="K257" s="3" t="n"/>
      <c r="L257" s="2" t="n"/>
      <c r="M257" s="2" t="n"/>
      <c r="N257" s="2" t="n"/>
      <c r="O257" s="2" t="n"/>
    </row>
    <row r="258">
      <c r="A258" s="3" t="n"/>
      <c r="B258" s="2" t="n"/>
      <c r="C258" s="2" t="n"/>
      <c r="D258" s="2" t="n"/>
      <c r="E258" s="7" t="n"/>
      <c r="F258" s="7" t="n"/>
      <c r="G258" s="7" t="n"/>
      <c r="H258" s="7">
        <f>IF(E258="","",E258-F258-G258)</f>
        <v/>
      </c>
      <c r="I258" s="2" t="n"/>
      <c r="J258" s="2" t="n"/>
      <c r="K258" s="3" t="n"/>
      <c r="L258" s="2" t="n"/>
      <c r="M258" s="2" t="n"/>
      <c r="N258" s="2" t="n"/>
      <c r="O258" s="2" t="n"/>
    </row>
    <row r="259">
      <c r="A259" s="3" t="n"/>
      <c r="B259" s="2" t="n"/>
      <c r="C259" s="2" t="n"/>
      <c r="D259" s="2" t="n"/>
      <c r="E259" s="7" t="n"/>
      <c r="F259" s="7" t="n"/>
      <c r="G259" s="7" t="n"/>
      <c r="H259" s="7">
        <f>IF(E259="","",E259-F259-G259)</f>
        <v/>
      </c>
      <c r="I259" s="2" t="n"/>
      <c r="J259" s="2" t="n"/>
      <c r="K259" s="3" t="n"/>
      <c r="L259" s="2" t="n"/>
      <c r="M259" s="2" t="n"/>
      <c r="N259" s="2" t="n"/>
      <c r="O259" s="2" t="n"/>
    </row>
    <row r="260">
      <c r="A260" s="3" t="n"/>
      <c r="B260" s="2" t="n"/>
      <c r="C260" s="2" t="n"/>
      <c r="D260" s="2" t="n"/>
      <c r="E260" s="7" t="n"/>
      <c r="F260" s="7" t="n"/>
      <c r="G260" s="7" t="n"/>
      <c r="H260" s="7">
        <f>IF(E260="","",E260-F260-G260)</f>
        <v/>
      </c>
      <c r="I260" s="2" t="n"/>
      <c r="J260" s="2" t="n"/>
      <c r="K260" s="3" t="n"/>
      <c r="L260" s="2" t="n"/>
      <c r="M260" s="2" t="n"/>
      <c r="N260" s="2" t="n"/>
      <c r="O260" s="2" t="n"/>
    </row>
    <row r="261">
      <c r="A261" s="3" t="n"/>
      <c r="B261" s="2" t="n"/>
      <c r="C261" s="2" t="n"/>
      <c r="D261" s="2" t="n"/>
      <c r="E261" s="7" t="n"/>
      <c r="F261" s="7" t="n"/>
      <c r="G261" s="7" t="n"/>
      <c r="H261" s="7">
        <f>IF(E261="","",E261-F261-G261)</f>
        <v/>
      </c>
      <c r="I261" s="2" t="n"/>
      <c r="J261" s="2" t="n"/>
      <c r="K261" s="3" t="n"/>
      <c r="L261" s="2" t="n"/>
      <c r="M261" s="2" t="n"/>
      <c r="N261" s="2" t="n"/>
      <c r="O261" s="2" t="n"/>
    </row>
    <row r="262">
      <c r="A262" s="3" t="n"/>
      <c r="B262" s="2" t="n"/>
      <c r="C262" s="2" t="n"/>
      <c r="D262" s="2" t="n"/>
      <c r="E262" s="7" t="n"/>
      <c r="F262" s="7" t="n"/>
      <c r="G262" s="7" t="n"/>
      <c r="H262" s="7">
        <f>IF(E262="","",E262-F262-G262)</f>
        <v/>
      </c>
      <c r="I262" s="2" t="n"/>
      <c r="J262" s="2" t="n"/>
      <c r="K262" s="3" t="n"/>
      <c r="L262" s="2" t="n"/>
      <c r="M262" s="2" t="n"/>
      <c r="N262" s="2" t="n"/>
      <c r="O262" s="2" t="n"/>
    </row>
    <row r="263">
      <c r="A263" s="3" t="n"/>
      <c r="B263" s="2" t="n"/>
      <c r="C263" s="2" t="n"/>
      <c r="D263" s="2" t="n"/>
      <c r="E263" s="7" t="n"/>
      <c r="F263" s="7" t="n"/>
      <c r="G263" s="7" t="n"/>
      <c r="H263" s="7">
        <f>IF(E263="","",E263-F263-G263)</f>
        <v/>
      </c>
      <c r="I263" s="2" t="n"/>
      <c r="J263" s="2" t="n"/>
      <c r="K263" s="3" t="n"/>
      <c r="L263" s="2" t="n"/>
      <c r="M263" s="2" t="n"/>
      <c r="N263" s="2" t="n"/>
      <c r="O263" s="2" t="n"/>
    </row>
    <row r="264">
      <c r="A264" s="3" t="n"/>
      <c r="B264" s="2" t="n"/>
      <c r="C264" s="2" t="n"/>
      <c r="D264" s="2" t="n"/>
      <c r="E264" s="7" t="n"/>
      <c r="F264" s="7" t="n"/>
      <c r="G264" s="7" t="n"/>
      <c r="H264" s="7">
        <f>IF(E264="","",E264-F264-G264)</f>
        <v/>
      </c>
      <c r="I264" s="2" t="n"/>
      <c r="J264" s="2" t="n"/>
      <c r="K264" s="3" t="n"/>
      <c r="L264" s="2" t="n"/>
      <c r="M264" s="2" t="n"/>
      <c r="N264" s="2" t="n"/>
      <c r="O264" s="2" t="n"/>
    </row>
    <row r="265">
      <c r="A265" s="3" t="n"/>
      <c r="B265" s="2" t="n"/>
      <c r="C265" s="2" t="n"/>
      <c r="D265" s="2" t="n"/>
      <c r="E265" s="7" t="n"/>
      <c r="F265" s="7" t="n"/>
      <c r="G265" s="7" t="n"/>
      <c r="H265" s="7">
        <f>IF(E265="","",E265-F265-G265)</f>
        <v/>
      </c>
      <c r="I265" s="2" t="n"/>
      <c r="J265" s="2" t="n"/>
      <c r="K265" s="3" t="n"/>
      <c r="L265" s="2" t="n"/>
      <c r="M265" s="2" t="n"/>
      <c r="N265" s="2" t="n"/>
      <c r="O265" s="2" t="n"/>
    </row>
    <row r="266">
      <c r="A266" s="3" t="n"/>
      <c r="B266" s="2" t="n"/>
      <c r="C266" s="2" t="n"/>
      <c r="D266" s="2" t="n"/>
      <c r="E266" s="7" t="n"/>
      <c r="F266" s="7" t="n"/>
      <c r="G266" s="7" t="n"/>
      <c r="H266" s="7">
        <f>IF(E266="","",E266-F266-G266)</f>
        <v/>
      </c>
      <c r="I266" s="2" t="n"/>
      <c r="J266" s="2" t="n"/>
      <c r="K266" s="3" t="n"/>
      <c r="L266" s="2" t="n"/>
      <c r="M266" s="2" t="n"/>
      <c r="N266" s="2" t="n"/>
      <c r="O266" s="2" t="n"/>
    </row>
    <row r="267">
      <c r="A267" s="3" t="n"/>
      <c r="B267" s="2" t="n"/>
      <c r="C267" s="2" t="n"/>
      <c r="D267" s="2" t="n"/>
      <c r="E267" s="7" t="n"/>
      <c r="F267" s="7" t="n"/>
      <c r="G267" s="7" t="n"/>
      <c r="H267" s="7">
        <f>IF(E267="","",E267-F267-G267)</f>
        <v/>
      </c>
      <c r="I267" s="2" t="n"/>
      <c r="J267" s="2" t="n"/>
      <c r="K267" s="3" t="n"/>
      <c r="L267" s="2" t="n"/>
      <c r="M267" s="2" t="n"/>
      <c r="N267" s="2" t="n"/>
      <c r="O267" s="2" t="n"/>
    </row>
    <row r="268">
      <c r="A268" s="3" t="n"/>
      <c r="B268" s="2" t="n"/>
      <c r="C268" s="2" t="n"/>
      <c r="D268" s="2" t="n"/>
      <c r="E268" s="7" t="n"/>
      <c r="F268" s="7" t="n"/>
      <c r="G268" s="7" t="n"/>
      <c r="H268" s="7">
        <f>IF(E268="","",E268-F268-G268)</f>
        <v/>
      </c>
      <c r="I268" s="2" t="n"/>
      <c r="J268" s="2" t="n"/>
      <c r="K268" s="3" t="n"/>
      <c r="L268" s="2" t="n"/>
      <c r="M268" s="2" t="n"/>
      <c r="N268" s="2" t="n"/>
      <c r="O268" s="2" t="n"/>
    </row>
    <row r="269">
      <c r="A269" s="3" t="n"/>
      <c r="B269" s="2" t="n"/>
      <c r="C269" s="2" t="n"/>
      <c r="D269" s="2" t="n"/>
      <c r="E269" s="7" t="n"/>
      <c r="F269" s="7" t="n"/>
      <c r="G269" s="7" t="n"/>
      <c r="H269" s="7">
        <f>IF(E269="","",E269-F269-G269)</f>
        <v/>
      </c>
      <c r="I269" s="2" t="n"/>
      <c r="J269" s="2" t="n"/>
      <c r="K269" s="3" t="n"/>
      <c r="L269" s="2" t="n"/>
      <c r="M269" s="2" t="n"/>
      <c r="N269" s="2" t="n"/>
      <c r="O269" s="2" t="n"/>
    </row>
    <row r="270">
      <c r="A270" s="3" t="n"/>
      <c r="B270" s="2" t="n"/>
      <c r="C270" s="2" t="n"/>
      <c r="D270" s="2" t="n"/>
      <c r="E270" s="7" t="n"/>
      <c r="F270" s="7" t="n"/>
      <c r="G270" s="7" t="n"/>
      <c r="H270" s="7">
        <f>IF(E270="","",E270-F270-G270)</f>
        <v/>
      </c>
      <c r="I270" s="2" t="n"/>
      <c r="J270" s="2" t="n"/>
      <c r="K270" s="3" t="n"/>
      <c r="L270" s="2" t="n"/>
      <c r="M270" s="2" t="n"/>
      <c r="N270" s="2" t="n"/>
      <c r="O270" s="2" t="n"/>
    </row>
    <row r="271">
      <c r="A271" s="3" t="n"/>
      <c r="B271" s="2" t="n"/>
      <c r="C271" s="2" t="n"/>
      <c r="D271" s="2" t="n"/>
      <c r="E271" s="7" t="n"/>
      <c r="F271" s="7" t="n"/>
      <c r="G271" s="7" t="n"/>
      <c r="H271" s="7">
        <f>IF(E271="","",E271-F271-G271)</f>
        <v/>
      </c>
      <c r="I271" s="2" t="n"/>
      <c r="J271" s="2" t="n"/>
      <c r="K271" s="3" t="n"/>
      <c r="L271" s="2" t="n"/>
      <c r="M271" s="2" t="n"/>
      <c r="N271" s="2" t="n"/>
      <c r="O271" s="2" t="n"/>
    </row>
    <row r="272">
      <c r="A272" s="3" t="n"/>
      <c r="B272" s="2" t="n"/>
      <c r="C272" s="2" t="n"/>
      <c r="D272" s="2" t="n"/>
      <c r="E272" s="7" t="n"/>
      <c r="F272" s="7" t="n"/>
      <c r="G272" s="7" t="n"/>
      <c r="H272" s="7">
        <f>IF(E272="","",E272-F272-G272)</f>
        <v/>
      </c>
      <c r="I272" s="2" t="n"/>
      <c r="J272" s="2" t="n"/>
      <c r="K272" s="3" t="n"/>
      <c r="L272" s="2" t="n"/>
      <c r="M272" s="2" t="n"/>
      <c r="N272" s="2" t="n"/>
      <c r="O272" s="2" t="n"/>
    </row>
    <row r="273">
      <c r="A273" s="3" t="n"/>
      <c r="B273" s="2" t="n"/>
      <c r="C273" s="2" t="n"/>
      <c r="D273" s="2" t="n"/>
      <c r="E273" s="7" t="n"/>
      <c r="F273" s="7" t="n"/>
      <c r="G273" s="7" t="n"/>
      <c r="H273" s="7">
        <f>IF(E273="","",E273-F273-G273)</f>
        <v/>
      </c>
      <c r="I273" s="2" t="n"/>
      <c r="J273" s="2" t="n"/>
      <c r="K273" s="3" t="n"/>
      <c r="L273" s="2" t="n"/>
      <c r="M273" s="2" t="n"/>
      <c r="N273" s="2" t="n"/>
      <c r="O273" s="2" t="n"/>
    </row>
    <row r="274">
      <c r="A274" s="3" t="n"/>
      <c r="B274" s="2" t="n"/>
      <c r="C274" s="2" t="n"/>
      <c r="D274" s="2" t="n"/>
      <c r="E274" s="7" t="n"/>
      <c r="F274" s="7" t="n"/>
      <c r="G274" s="7" t="n"/>
      <c r="H274" s="7">
        <f>IF(E274="","",E274-F274-G274)</f>
        <v/>
      </c>
      <c r="I274" s="2" t="n"/>
      <c r="J274" s="2" t="n"/>
      <c r="K274" s="3" t="n"/>
      <c r="L274" s="2" t="n"/>
      <c r="M274" s="2" t="n"/>
      <c r="N274" s="2" t="n"/>
      <c r="O274" s="2" t="n"/>
    </row>
    <row r="275">
      <c r="A275" s="3" t="n"/>
      <c r="B275" s="2" t="n"/>
      <c r="C275" s="2" t="n"/>
      <c r="D275" s="2" t="n"/>
      <c r="E275" s="7" t="n"/>
      <c r="F275" s="7" t="n"/>
      <c r="G275" s="7" t="n"/>
      <c r="H275" s="7">
        <f>IF(E275="","",E275-F275-G275)</f>
        <v/>
      </c>
      <c r="I275" s="2" t="n"/>
      <c r="J275" s="2" t="n"/>
      <c r="K275" s="3" t="n"/>
      <c r="L275" s="2" t="n"/>
      <c r="M275" s="2" t="n"/>
      <c r="N275" s="2" t="n"/>
      <c r="O275" s="2" t="n"/>
    </row>
    <row r="276">
      <c r="A276" s="3" t="n"/>
      <c r="B276" s="2" t="n"/>
      <c r="C276" s="2" t="n"/>
      <c r="D276" s="2" t="n"/>
      <c r="E276" s="7" t="n"/>
      <c r="F276" s="7" t="n"/>
      <c r="G276" s="7" t="n"/>
      <c r="H276" s="7">
        <f>IF(E276="","",E276-F276-G276)</f>
        <v/>
      </c>
      <c r="I276" s="2" t="n"/>
      <c r="J276" s="2" t="n"/>
      <c r="K276" s="3" t="n"/>
      <c r="L276" s="2" t="n"/>
      <c r="M276" s="2" t="n"/>
      <c r="N276" s="2" t="n"/>
      <c r="O276" s="2" t="n"/>
    </row>
    <row r="277">
      <c r="A277" s="3" t="n"/>
      <c r="B277" s="2" t="n"/>
      <c r="C277" s="2" t="n"/>
      <c r="D277" s="2" t="n"/>
      <c r="E277" s="7" t="n"/>
      <c r="F277" s="7" t="n"/>
      <c r="G277" s="7" t="n"/>
      <c r="H277" s="7">
        <f>IF(E277="","",E277-F277-G277)</f>
        <v/>
      </c>
      <c r="I277" s="2" t="n"/>
      <c r="J277" s="2" t="n"/>
      <c r="K277" s="3" t="n"/>
      <c r="L277" s="2" t="n"/>
      <c r="M277" s="2" t="n"/>
      <c r="N277" s="2" t="n"/>
      <c r="O277" s="2" t="n"/>
    </row>
    <row r="278">
      <c r="A278" s="3" t="n"/>
      <c r="B278" s="2" t="n"/>
      <c r="C278" s="2" t="n"/>
      <c r="D278" s="2" t="n"/>
      <c r="E278" s="7" t="n"/>
      <c r="F278" s="7" t="n"/>
      <c r="G278" s="7" t="n"/>
      <c r="H278" s="7">
        <f>IF(E278="","",E278-F278-G278)</f>
        <v/>
      </c>
      <c r="I278" s="2" t="n"/>
      <c r="J278" s="2" t="n"/>
      <c r="K278" s="3" t="n"/>
      <c r="L278" s="2" t="n"/>
      <c r="M278" s="2" t="n"/>
      <c r="N278" s="2" t="n"/>
      <c r="O278" s="2" t="n"/>
    </row>
    <row r="279">
      <c r="A279" s="3" t="n"/>
      <c r="B279" s="2" t="n"/>
      <c r="C279" s="2" t="n"/>
      <c r="D279" s="2" t="n"/>
      <c r="E279" s="7" t="n"/>
      <c r="F279" s="7" t="n"/>
      <c r="G279" s="7" t="n"/>
      <c r="H279" s="7">
        <f>IF(E279="","",E279-F279-G279)</f>
        <v/>
      </c>
      <c r="I279" s="2" t="n"/>
      <c r="J279" s="2" t="n"/>
      <c r="K279" s="3" t="n"/>
      <c r="L279" s="2" t="n"/>
      <c r="M279" s="2" t="n"/>
      <c r="N279" s="2" t="n"/>
      <c r="O279" s="2" t="n"/>
    </row>
    <row r="280">
      <c r="A280" s="3" t="n"/>
      <c r="B280" s="2" t="n"/>
      <c r="C280" s="2" t="n"/>
      <c r="D280" s="2" t="n"/>
      <c r="E280" s="7" t="n"/>
      <c r="F280" s="7" t="n"/>
      <c r="G280" s="7" t="n"/>
      <c r="H280" s="7">
        <f>IF(E280="","",E280-F280-G280)</f>
        <v/>
      </c>
      <c r="I280" s="2" t="n"/>
      <c r="J280" s="2" t="n"/>
      <c r="K280" s="3" t="n"/>
      <c r="L280" s="2" t="n"/>
      <c r="M280" s="2" t="n"/>
      <c r="N280" s="2" t="n"/>
      <c r="O280" s="2" t="n"/>
    </row>
    <row r="281">
      <c r="A281" s="3" t="n"/>
      <c r="B281" s="2" t="n"/>
      <c r="C281" s="2" t="n"/>
      <c r="D281" s="2" t="n"/>
      <c r="E281" s="7" t="n"/>
      <c r="F281" s="7" t="n"/>
      <c r="G281" s="7" t="n"/>
      <c r="H281" s="7">
        <f>IF(E281="","",E281-F281-G281)</f>
        <v/>
      </c>
      <c r="I281" s="2" t="n"/>
      <c r="J281" s="2" t="n"/>
      <c r="K281" s="3" t="n"/>
      <c r="L281" s="2" t="n"/>
      <c r="M281" s="2" t="n"/>
      <c r="N281" s="2" t="n"/>
      <c r="O281" s="2" t="n"/>
    </row>
    <row r="282">
      <c r="A282" s="3" t="n"/>
      <c r="B282" s="2" t="n"/>
      <c r="C282" s="2" t="n"/>
      <c r="D282" s="2" t="n"/>
      <c r="E282" s="7" t="n"/>
      <c r="F282" s="7" t="n"/>
      <c r="G282" s="7" t="n"/>
      <c r="H282" s="7">
        <f>IF(E282="","",E282-F282-G282)</f>
        <v/>
      </c>
      <c r="I282" s="2" t="n"/>
      <c r="J282" s="2" t="n"/>
      <c r="K282" s="3" t="n"/>
      <c r="L282" s="2" t="n"/>
      <c r="M282" s="2" t="n"/>
      <c r="N282" s="2" t="n"/>
      <c r="O282" s="2" t="n"/>
    </row>
    <row r="283">
      <c r="A283" s="3" t="n"/>
      <c r="B283" s="2" t="n"/>
      <c r="C283" s="2" t="n"/>
      <c r="D283" s="2" t="n"/>
      <c r="E283" s="7" t="n"/>
      <c r="F283" s="7" t="n"/>
      <c r="G283" s="7" t="n"/>
      <c r="H283" s="7">
        <f>IF(E283="","",E283-F283-G283)</f>
        <v/>
      </c>
      <c r="I283" s="2" t="n"/>
      <c r="J283" s="2" t="n"/>
      <c r="K283" s="3" t="n"/>
      <c r="L283" s="2" t="n"/>
      <c r="M283" s="2" t="n"/>
      <c r="N283" s="2" t="n"/>
      <c r="O283" s="2" t="n"/>
    </row>
    <row r="284">
      <c r="A284" s="3" t="n"/>
      <c r="B284" s="2" t="n"/>
      <c r="C284" s="2" t="n"/>
      <c r="D284" s="2" t="n"/>
      <c r="E284" s="7" t="n"/>
      <c r="F284" s="7" t="n"/>
      <c r="G284" s="7" t="n"/>
      <c r="H284" s="7">
        <f>IF(E284="","",E284-F284-G284)</f>
        <v/>
      </c>
      <c r="I284" s="2" t="n"/>
      <c r="J284" s="2" t="n"/>
      <c r="K284" s="3" t="n"/>
      <c r="L284" s="2" t="n"/>
      <c r="M284" s="2" t="n"/>
      <c r="N284" s="2" t="n"/>
      <c r="O284" s="2" t="n"/>
    </row>
    <row r="285">
      <c r="A285" s="3" t="n"/>
      <c r="B285" s="2" t="n"/>
      <c r="C285" s="2" t="n"/>
      <c r="D285" s="2" t="n"/>
      <c r="E285" s="7" t="n"/>
      <c r="F285" s="7" t="n"/>
      <c r="G285" s="7" t="n"/>
      <c r="H285" s="7">
        <f>IF(E285="","",E285-F285-G285)</f>
        <v/>
      </c>
      <c r="I285" s="2" t="n"/>
      <c r="J285" s="2" t="n"/>
      <c r="K285" s="3" t="n"/>
      <c r="L285" s="2" t="n"/>
      <c r="M285" s="2" t="n"/>
      <c r="N285" s="2" t="n"/>
      <c r="O285" s="2" t="n"/>
    </row>
    <row r="286">
      <c r="A286" s="3" t="n"/>
      <c r="B286" s="2" t="n"/>
      <c r="C286" s="2" t="n"/>
      <c r="D286" s="2" t="n"/>
      <c r="E286" s="7" t="n"/>
      <c r="F286" s="7" t="n"/>
      <c r="G286" s="7" t="n"/>
      <c r="H286" s="7">
        <f>IF(E286="","",E286-F286-G286)</f>
        <v/>
      </c>
      <c r="I286" s="2" t="n"/>
      <c r="J286" s="2" t="n"/>
      <c r="K286" s="3" t="n"/>
      <c r="L286" s="2" t="n"/>
      <c r="M286" s="2" t="n"/>
      <c r="N286" s="2" t="n"/>
      <c r="O286" s="2" t="n"/>
    </row>
    <row r="287">
      <c r="A287" s="3" t="n"/>
      <c r="B287" s="2" t="n"/>
      <c r="C287" s="2" t="n"/>
      <c r="D287" s="2" t="n"/>
      <c r="E287" s="7" t="n"/>
      <c r="F287" s="7" t="n"/>
      <c r="G287" s="7" t="n"/>
      <c r="H287" s="7">
        <f>IF(E287="","",E287-F287-G287)</f>
        <v/>
      </c>
      <c r="I287" s="2" t="n"/>
      <c r="J287" s="2" t="n"/>
      <c r="K287" s="3" t="n"/>
      <c r="L287" s="2" t="n"/>
      <c r="M287" s="2" t="n"/>
      <c r="N287" s="2" t="n"/>
      <c r="O287" s="2" t="n"/>
    </row>
    <row r="288">
      <c r="A288" s="3" t="n"/>
      <c r="B288" s="2" t="n"/>
      <c r="C288" s="2" t="n"/>
      <c r="D288" s="2" t="n"/>
      <c r="E288" s="7" t="n"/>
      <c r="F288" s="7" t="n"/>
      <c r="G288" s="7" t="n"/>
      <c r="H288" s="7">
        <f>IF(E288="","",E288-F288-G288)</f>
        <v/>
      </c>
      <c r="I288" s="2" t="n"/>
      <c r="J288" s="2" t="n"/>
      <c r="K288" s="3" t="n"/>
      <c r="L288" s="2" t="n"/>
      <c r="M288" s="2" t="n"/>
      <c r="N288" s="2" t="n"/>
      <c r="O288" s="2" t="n"/>
    </row>
    <row r="289">
      <c r="A289" s="3" t="n"/>
      <c r="B289" s="2" t="n"/>
      <c r="C289" s="2" t="n"/>
      <c r="D289" s="2" t="n"/>
      <c r="E289" s="7" t="n"/>
      <c r="F289" s="7" t="n"/>
      <c r="G289" s="7" t="n"/>
      <c r="H289" s="7">
        <f>IF(E289="","",E289-F289-G289)</f>
        <v/>
      </c>
      <c r="I289" s="2" t="n"/>
      <c r="J289" s="2" t="n"/>
      <c r="K289" s="3" t="n"/>
      <c r="L289" s="2" t="n"/>
      <c r="M289" s="2" t="n"/>
      <c r="N289" s="2" t="n"/>
      <c r="O289" s="2" t="n"/>
    </row>
    <row r="290">
      <c r="A290" s="3" t="n"/>
      <c r="B290" s="2" t="n"/>
      <c r="C290" s="2" t="n"/>
      <c r="D290" s="2" t="n"/>
      <c r="E290" s="7" t="n"/>
      <c r="F290" s="7" t="n"/>
      <c r="G290" s="7" t="n"/>
      <c r="H290" s="7">
        <f>IF(E290="","",E290-F290-G290)</f>
        <v/>
      </c>
      <c r="I290" s="2" t="n"/>
      <c r="J290" s="2" t="n"/>
      <c r="K290" s="3" t="n"/>
      <c r="L290" s="2" t="n"/>
      <c r="M290" s="2" t="n"/>
      <c r="N290" s="2" t="n"/>
      <c r="O290" s="2" t="n"/>
    </row>
    <row r="291">
      <c r="A291" s="3" t="n"/>
      <c r="B291" s="2" t="n"/>
      <c r="C291" s="2" t="n"/>
      <c r="D291" s="2" t="n"/>
      <c r="E291" s="7" t="n"/>
      <c r="F291" s="7" t="n"/>
      <c r="G291" s="7" t="n"/>
      <c r="H291" s="7">
        <f>IF(E291="","",E291-F291-G291)</f>
        <v/>
      </c>
      <c r="I291" s="2" t="n"/>
      <c r="J291" s="2" t="n"/>
      <c r="K291" s="3" t="n"/>
      <c r="L291" s="2" t="n"/>
      <c r="M291" s="2" t="n"/>
      <c r="N291" s="2" t="n"/>
      <c r="O291" s="2" t="n"/>
    </row>
    <row r="292">
      <c r="A292" s="3" t="n"/>
      <c r="B292" s="2" t="n"/>
      <c r="C292" s="2" t="n"/>
      <c r="D292" s="2" t="n"/>
      <c r="E292" s="7" t="n"/>
      <c r="F292" s="7" t="n"/>
      <c r="G292" s="7" t="n"/>
      <c r="H292" s="7">
        <f>IF(E292="","",E292-F292-G292)</f>
        <v/>
      </c>
      <c r="I292" s="2" t="n"/>
      <c r="J292" s="2" t="n"/>
      <c r="K292" s="3" t="n"/>
      <c r="L292" s="2" t="n"/>
      <c r="M292" s="2" t="n"/>
      <c r="N292" s="2" t="n"/>
      <c r="O292" s="2" t="n"/>
    </row>
    <row r="293">
      <c r="A293" s="3" t="n"/>
      <c r="B293" s="2" t="n"/>
      <c r="C293" s="2" t="n"/>
      <c r="D293" s="2" t="n"/>
      <c r="E293" s="7" t="n"/>
      <c r="F293" s="7" t="n"/>
      <c r="G293" s="7" t="n"/>
      <c r="H293" s="7">
        <f>IF(E293="","",E293-F293-G293)</f>
        <v/>
      </c>
      <c r="I293" s="2" t="n"/>
      <c r="J293" s="2" t="n"/>
      <c r="K293" s="3" t="n"/>
      <c r="L293" s="2" t="n"/>
      <c r="M293" s="2" t="n"/>
      <c r="N293" s="2" t="n"/>
      <c r="O293" s="2" t="n"/>
    </row>
    <row r="294">
      <c r="A294" s="3" t="n"/>
      <c r="B294" s="2" t="n"/>
      <c r="C294" s="2" t="n"/>
      <c r="D294" s="2" t="n"/>
      <c r="E294" s="7" t="n"/>
      <c r="F294" s="7" t="n"/>
      <c r="G294" s="7" t="n"/>
      <c r="H294" s="7">
        <f>IF(E294="","",E294-F294-G294)</f>
        <v/>
      </c>
      <c r="I294" s="2" t="n"/>
      <c r="J294" s="2" t="n"/>
      <c r="K294" s="3" t="n"/>
      <c r="L294" s="2" t="n"/>
      <c r="M294" s="2" t="n"/>
      <c r="N294" s="2" t="n"/>
      <c r="O294" s="2" t="n"/>
    </row>
    <row r="295">
      <c r="A295" s="3" t="n"/>
      <c r="B295" s="2" t="n"/>
      <c r="C295" s="2" t="n"/>
      <c r="D295" s="2" t="n"/>
      <c r="E295" s="7" t="n"/>
      <c r="F295" s="7" t="n"/>
      <c r="G295" s="7" t="n"/>
      <c r="H295" s="7">
        <f>IF(E295="","",E295-F295-G295)</f>
        <v/>
      </c>
      <c r="I295" s="2" t="n"/>
      <c r="J295" s="2" t="n"/>
      <c r="K295" s="3" t="n"/>
      <c r="L295" s="2" t="n"/>
      <c r="M295" s="2" t="n"/>
      <c r="N295" s="2" t="n"/>
      <c r="O295" s="2" t="n"/>
    </row>
    <row r="296">
      <c r="A296" s="3" t="n"/>
      <c r="B296" s="2" t="n"/>
      <c r="C296" s="2" t="n"/>
      <c r="D296" s="2" t="n"/>
      <c r="E296" s="7" t="n"/>
      <c r="F296" s="7" t="n"/>
      <c r="G296" s="7" t="n"/>
      <c r="H296" s="7">
        <f>IF(E296="","",E296-F296-G296)</f>
        <v/>
      </c>
      <c r="I296" s="2" t="n"/>
      <c r="J296" s="2" t="n"/>
      <c r="K296" s="3" t="n"/>
      <c r="L296" s="2" t="n"/>
      <c r="M296" s="2" t="n"/>
      <c r="N296" s="2" t="n"/>
      <c r="O296" s="2" t="n"/>
    </row>
    <row r="297">
      <c r="A297" s="3" t="n"/>
      <c r="B297" s="2" t="n"/>
      <c r="C297" s="2" t="n"/>
      <c r="D297" s="2" t="n"/>
      <c r="E297" s="7" t="n"/>
      <c r="F297" s="7" t="n"/>
      <c r="G297" s="7" t="n"/>
      <c r="H297" s="7">
        <f>IF(E297="","",E297-F297-G297)</f>
        <v/>
      </c>
      <c r="I297" s="2" t="n"/>
      <c r="J297" s="2" t="n"/>
      <c r="K297" s="3" t="n"/>
      <c r="L297" s="2" t="n"/>
      <c r="M297" s="2" t="n"/>
      <c r="N297" s="2" t="n"/>
      <c r="O297" s="2" t="n"/>
    </row>
    <row r="298">
      <c r="A298" s="3" t="n"/>
      <c r="B298" s="2" t="n"/>
      <c r="C298" s="2" t="n"/>
      <c r="D298" s="2" t="n"/>
      <c r="E298" s="7" t="n"/>
      <c r="F298" s="7" t="n"/>
      <c r="G298" s="7" t="n"/>
      <c r="H298" s="7">
        <f>IF(E298="","",E298-F298-G298)</f>
        <v/>
      </c>
      <c r="I298" s="2" t="n"/>
      <c r="J298" s="2" t="n"/>
      <c r="K298" s="3" t="n"/>
      <c r="L298" s="2" t="n"/>
      <c r="M298" s="2" t="n"/>
      <c r="N298" s="2" t="n"/>
      <c r="O298" s="2" t="n"/>
    </row>
    <row r="299">
      <c r="A299" s="3" t="n"/>
      <c r="B299" s="2" t="n"/>
      <c r="C299" s="2" t="n"/>
      <c r="D299" s="2" t="n"/>
      <c r="E299" s="7" t="n"/>
      <c r="F299" s="7" t="n"/>
      <c r="G299" s="7" t="n"/>
      <c r="H299" s="7">
        <f>IF(E299="","",E299-F299-G299)</f>
        <v/>
      </c>
      <c r="I299" s="2" t="n"/>
      <c r="J299" s="2" t="n"/>
      <c r="K299" s="3" t="n"/>
      <c r="L299" s="2" t="n"/>
      <c r="M299" s="2" t="n"/>
      <c r="N299" s="2" t="n"/>
      <c r="O299" s="2" t="n"/>
    </row>
    <row r="300">
      <c r="A300" s="3" t="n"/>
      <c r="B300" s="2" t="n"/>
      <c r="C300" s="2" t="n"/>
      <c r="D300" s="2" t="n"/>
      <c r="E300" s="7" t="n"/>
      <c r="F300" s="7" t="n"/>
      <c r="G300" s="7" t="n"/>
      <c r="H300" s="7">
        <f>IF(E300="","",E300-F300-G300)</f>
        <v/>
      </c>
      <c r="I300" s="2" t="n"/>
      <c r="J300" s="2" t="n"/>
      <c r="K300" s="3" t="n"/>
      <c r="L300" s="2" t="n"/>
      <c r="M300" s="2" t="n"/>
      <c r="N300" s="2" t="n"/>
      <c r="O300" s="2" t="n"/>
    </row>
    <row r="301">
      <c r="A301" s="3" t="n"/>
      <c r="B301" s="2" t="n"/>
      <c r="C301" s="2" t="n"/>
      <c r="D301" s="2" t="n"/>
      <c r="E301" s="7" t="n"/>
      <c r="F301" s="7" t="n"/>
      <c r="G301" s="7" t="n"/>
      <c r="H301" s="7">
        <f>IF(E301="","",E301-F301-G301)</f>
        <v/>
      </c>
      <c r="I301" s="2" t="n"/>
      <c r="J301" s="2" t="n"/>
      <c r="K301" s="3" t="n"/>
      <c r="L301" s="2" t="n"/>
      <c r="M301" s="2" t="n"/>
      <c r="N301" s="2" t="n"/>
      <c r="O301" s="2" t="n"/>
    </row>
  </sheetData>
  <conditionalFormatting sqref="A2:O301">
    <cfRule type="expression" priority="1" dxfId="4">
      <formula>AND($H2&lt;&gt;"",$H2&gt;0,$K2&lt;&gt;"",$K2&lt;=TODAY())</formula>
    </cfRule>
  </conditionalFormatting>
  <dataValidations count="4">
    <dataValidation sqref="C2:C301" showDropDown="0" showInputMessage="0" showErrorMessage="0" allowBlank="1" type="list">
      <formula1>"Techne Musical Lab,Broadway Musical Dance,English Drama Lab,English Acting Praxis,English Drama Youth,The Auteur Lab"</formula1>
    </dataValidation>
    <dataValidation sqref="I2:I301" showDropDown="0" showInputMessage="0" showErrorMessage="0" allowBlank="1" type="list">
      <formula1>"Kart (link),Havale/EFT,Nakit,Taksit"</formula1>
    </dataValidation>
    <dataValidation sqref="M2:M301" showDropDown="0" showInputMessage="0" showErrorMessage="0" allowBlank="1" type="list">
      <formula1>"Evet,Hayır"</formula1>
    </dataValidation>
    <dataValidation sqref="N2:N301" showDropDown="0" showInputMessage="0" showErrorMessage="0" allowBlank="1" type="list">
      <formula1>"Evet,Hayır"</formula1>
    </dataValidation>
  </dataValidations>
  <pageMargins left="0.75" right="0.75" top="1" bottom="1" header="0.5" footer="0.5"/>
</worksheet>
</file>

<file path=xl/worksheets/sheet6.xml><?xml version="1.0" encoding="utf-8"?>
<worksheet xmlns="http://schemas.openxmlformats.org/spreadsheetml/2006/main">
  <sheetPr>
    <tabColor rgb="00FB8C00"/>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42" customWidth="1" min="3" max="3"/>
    <col width="7" customWidth="1" min="4" max="4"/>
    <col width="11" customWidth="1" min="5" max="5"/>
    <col width="70" customWidth="1" min="6" max="6"/>
    <col width="9" customWidth="1" min="7" max="7"/>
    <col width="40" customWidth="1" min="8" max="8"/>
  </cols>
  <sheetData>
    <row r="1" ht="28" customHeight="1">
      <c r="A1" s="1" t="inlineStr">
        <is>
          <t>✓</t>
        </is>
      </c>
      <c r="B1" s="1" t="inlineStr">
        <is>
          <t>Kim</t>
        </is>
      </c>
      <c r="C1" s="1" t="inlineStr">
        <is>
          <t>Görev</t>
        </is>
      </c>
      <c r="D1" s="1" t="inlineStr">
        <is>
          <t>Gün</t>
        </is>
      </c>
      <c r="E1" s="1" t="inlineStr">
        <is>
          <t>Alan</t>
        </is>
      </c>
      <c r="F1" s="1" t="inlineStr">
        <is>
          <t>Bitti sayılması için</t>
        </is>
      </c>
      <c r="G1" s="1" t="inlineStr">
        <is>
          <t>Süre</t>
        </is>
      </c>
      <c r="H1" s="1" t="inlineStr">
        <is>
          <t>Claude'a şöyle ver</t>
        </is>
      </c>
    </row>
    <row r="2">
      <c r="A2" s="2" t="inlineStr"/>
      <c r="B2" s="2" t="inlineStr">
        <is>
          <t>Yağız + Melis</t>
        </is>
      </c>
      <c r="C2" s="2" t="inlineStr">
        <is>
          <t>Haftalık satış toplantısı</t>
        </is>
      </c>
      <c r="D2" s="2" t="inlineStr">
        <is>
          <t>Pzt</t>
        </is>
      </c>
      <c r="E2" s="2" t="inlineStr">
        <is>
          <t>Satış</t>
        </is>
      </c>
      <c r="F2" s="2" t="inlineStr">
        <is>
          <t>SKOR sekmesi, kırmızı satırlar, kayıp nedenleri. Tek karar: bu hafta neyi farklı yapıyoruz.</t>
        </is>
      </c>
      <c r="G2" s="2" t="inlineStr">
        <is>
          <t>30 dk</t>
        </is>
      </c>
      <c r="H2" s="2" t="inlineStr"/>
    </row>
    <row r="3">
      <c r="A3" s="2" t="inlineStr"/>
      <c r="B3" s="2" t="inlineStr">
        <is>
          <t>Yağız</t>
        </is>
      </c>
      <c r="C3" s="2" t="inlineStr">
        <is>
          <t>Reklam arkadaşıyla 15 dakika</t>
        </is>
      </c>
      <c r="D3" s="2" t="inlineStr">
        <is>
          <t>Pzt</t>
        </is>
      </c>
      <c r="E3" s="2" t="inlineStr">
        <is>
          <t>Reklam devri</t>
        </is>
      </c>
      <c r="F3" s="2" t="inlineStr">
        <is>
          <t>Geçen haftanın program bazında harcama/mesaj/kayıt rakamı SKOR'a işlendi. Bu hafta hangi programa ağırlık vereceği net.</t>
        </is>
      </c>
      <c r="G3" s="2" t="inlineStr">
        <is>
          <t>15 dk</t>
        </is>
      </c>
      <c r="H3" s="2" t="inlineStr"/>
    </row>
    <row r="4">
      <c r="A4" s="2" t="inlineStr"/>
      <c r="B4" s="2" t="inlineStr">
        <is>
          <t>Yağız</t>
        </is>
      </c>
      <c r="C4" s="2" t="inlineStr">
        <is>
          <t>Program tarihleri 5 kaynakta tutuyor mu</t>
        </is>
      </c>
      <c r="D4" s="2" t="inlineStr">
        <is>
          <t>Pzt</t>
        </is>
      </c>
      <c r="E4" s="2" t="inlineStr">
        <is>
          <t>Kod</t>
        </is>
      </c>
      <c r="F4" s="2" t="inlineStr">
        <is>
          <t>data.ts, sessions.ts, site, broşür aynı tarihi söylüyor. Tutmuyorsa reklam arkadaşına da haber ver, o da reklamı düzeltsin.</t>
        </is>
      </c>
      <c r="G4" s="2" t="inlineStr">
        <is>
          <t>15 dk</t>
        </is>
      </c>
      <c r="H4" s="2" t="inlineStr">
        <is>
          <t>/tarih-kontrol</t>
        </is>
      </c>
    </row>
    <row r="5">
      <c r="A5" s="2" t="inlineStr"/>
      <c r="B5" s="2" t="inlineStr">
        <is>
          <t>Yağız</t>
        </is>
      </c>
      <c r="C5" s="2" t="inlineStr">
        <is>
          <t>SEO raporu ve 2 aksiyon</t>
        </is>
      </c>
      <c r="D5" s="2" t="inlineStr">
        <is>
          <t>Sal</t>
        </is>
      </c>
      <c r="E5" s="2" t="inlineStr">
        <is>
          <t>SEO</t>
        </is>
      </c>
      <c r="F5" s="2" t="inlineStr">
        <is>
          <t>Rapor seo-raporlar klasöründe. Önerilen 3 aksiyondan en az 2'si bitti.</t>
        </is>
      </c>
      <c r="G5" s="2" t="inlineStr">
        <is>
          <t>90 dk</t>
        </is>
      </c>
      <c r="H5" s="2" t="inlineStr">
        <is>
          <t>"SEO durumu ne"</t>
        </is>
      </c>
    </row>
    <row r="6">
      <c r="A6" s="2" t="inlineStr"/>
      <c r="B6" s="2" t="inlineStr">
        <is>
          <t>Yağız</t>
        </is>
      </c>
      <c r="C6" s="2" t="inlineStr">
        <is>
          <t>1 sayfa ya da makale güçlendir</t>
        </is>
      </c>
      <c r="D6" s="2" t="inlineStr">
        <is>
          <t>Sal</t>
        </is>
      </c>
      <c r="E6" s="2" t="inlineStr">
        <is>
          <t>SEO</t>
        </is>
      </c>
      <c r="F6" s="2" t="inlineStr">
        <is>
          <t>Hedef sorgu için iç link, başlık, SSS. Deploy edildi.</t>
        </is>
      </c>
      <c r="G6" s="2" t="inlineStr">
        <is>
          <t>30 dk</t>
        </is>
      </c>
      <c r="H6" s="2" t="inlineStr">
        <is>
          <t>"oyunculuk kursu istanbul sayfasını güçlendir"</t>
        </is>
      </c>
    </row>
    <row r="7">
      <c r="A7" s="2" t="inlineStr"/>
      <c r="B7" s="2" t="inlineStr">
        <is>
          <t>Yağız</t>
        </is>
      </c>
      <c r="C7" s="2" t="inlineStr">
        <is>
          <t>90 GÜN planındaki kurumsal kimlik/marka cümlesi işi</t>
        </is>
      </c>
      <c r="D7" s="2" t="inlineStr">
        <is>
          <t>Çar</t>
        </is>
      </c>
      <c r="E7" s="2" t="inlineStr">
        <is>
          <t>Marka</t>
        </is>
      </c>
      <c r="F7" s="2" t="inlineStr">
        <is>
          <t>O haftanın teslimatı bitti (karar/metin). Üretim gereken kısım (görsel, şablon) reklam-tasarım arkadaşına brief olarak yazıldı.</t>
        </is>
      </c>
      <c r="G7" s="2" t="inlineStr">
        <is>
          <t>90 dk</t>
        </is>
      </c>
      <c r="H7" s="2" t="inlineStr"/>
    </row>
    <row r="8">
      <c r="A8" s="2" t="inlineStr"/>
      <c r="B8" s="2" t="inlineStr">
        <is>
          <t>Yağız</t>
        </is>
      </c>
      <c r="C8" s="2" t="inlineStr">
        <is>
          <t>Marka dili işi + yayın kanalı mesajları</t>
        </is>
      </c>
      <c r="D8" s="2" t="inlineStr">
        <is>
          <t>Per</t>
        </is>
      </c>
      <c r="E8" s="2" t="inlineStr">
        <is>
          <t>Marka</t>
        </is>
      </c>
      <c r="F8" s="2" t="inlineStr">
        <is>
          <t>90 GÜN'deki marka dili teslimatı. Instagram yayın kanalına haftanın 2 mesajı.</t>
        </is>
      </c>
      <c r="G8" s="2" t="inlineStr">
        <is>
          <t>45 dk</t>
        </is>
      </c>
      <c r="H8" s="2" t="inlineStr"/>
    </row>
    <row r="9">
      <c r="A9" s="2" t="inlineStr"/>
      <c r="B9" s="2" t="inlineStr">
        <is>
          <t>Yağız</t>
        </is>
      </c>
      <c r="C9" s="2" t="inlineStr">
        <is>
          <t>3 dış temas (basın, kurum, okul, ortak)</t>
        </is>
      </c>
      <c r="D9" s="2" t="inlineStr">
        <is>
          <t>Cum</t>
        </is>
      </c>
      <c r="E9" s="2" t="inlineStr">
        <is>
          <t>PR</t>
        </is>
      </c>
      <c r="F9" s="2" t="inlineStr">
        <is>
          <t>LINK-BUILDING planındaki sıradaki dalga. Gmail taslakları gözden geçirildi, gönderildi.</t>
        </is>
      </c>
      <c r="G9" s="2" t="inlineStr">
        <is>
          <t>45 dk</t>
        </is>
      </c>
      <c r="H9" s="2" t="inlineStr">
        <is>
          <t>"Link building dalgası için 3 mail taslağı hazırla"</t>
        </is>
      </c>
    </row>
    <row r="10">
      <c r="A10" s="2" t="inlineStr"/>
      <c r="B10" s="2" t="inlineStr">
        <is>
          <t>Yağız</t>
        </is>
      </c>
      <c r="C10" s="2" t="inlineStr">
        <is>
          <t>Haftalık değerlendirme</t>
        </is>
      </c>
      <c r="D10" s="2" t="inlineStr">
        <is>
          <t>Cum</t>
        </is>
      </c>
      <c r="E10" s="2" t="inlineStr">
        <is>
          <t>Yönetim</t>
        </is>
      </c>
      <c r="F10" s="2" t="inlineStr">
        <is>
          <t>90 GÜN sekmesinde haftanın satırı işaretlendi. Önümüzdeki haftanın 3 önceliği yazıldı.</t>
        </is>
      </c>
      <c r="G10" s="2" t="inlineStr">
        <is>
          <t>30 dk</t>
        </is>
      </c>
      <c r="H10" s="2" t="inlineStr"/>
    </row>
    <row r="11">
      <c r="A11" s="2" t="inlineStr"/>
      <c r="B11" s="2" t="inlineStr">
        <is>
          <t>Yağız</t>
        </is>
      </c>
      <c r="C11" s="2" t="inlineStr">
        <is>
          <t>Eğitmenlerden içerik ve geri bildirim topla</t>
        </is>
      </c>
      <c r="D11" s="2" t="inlineStr">
        <is>
          <t>Cum</t>
        </is>
      </c>
      <c r="E11" s="2" t="inlineStr">
        <is>
          <t>Marka</t>
        </is>
      </c>
      <c r="F11" s="2" t="inlineStr">
        <is>
          <t>Her programdan haftada 1 fotoğraf/video ve 1 cümlelik katılımcı gözlemi — reklam-tasarım arkadaşına ham malzeme olarak iletildi.</t>
        </is>
      </c>
      <c r="G11" s="2" t="inlineStr">
        <is>
          <t>15 dk</t>
        </is>
      </c>
      <c r="H11" s="2" t="inlineStr"/>
    </row>
    <row r="12">
      <c r="A12" s="2" t="inlineStr"/>
      <c r="B12" s="2" t="inlineStr">
        <is>
          <t>Melis</t>
        </is>
      </c>
      <c r="C12" s="2" t="inlineStr">
        <is>
          <t>Geçen haftanın SKOR satırını tamamla</t>
        </is>
      </c>
      <c r="D12" s="2" t="inlineStr">
        <is>
          <t>Pzt</t>
        </is>
      </c>
      <c r="E12" s="2" t="inlineStr">
        <is>
          <t>Satış</t>
        </is>
      </c>
      <c r="F12" s="2" t="inlineStr">
        <is>
          <t>Arama, ulaşılan, tanışma, kayıt, tahsilat sayıları eksiksiz.</t>
        </is>
      </c>
      <c r="G12" s="2" t="inlineStr">
        <is>
          <t>20 dk</t>
        </is>
      </c>
      <c r="H12" s="2" t="inlineStr"/>
    </row>
    <row r="13">
      <c r="A13" s="2" t="inlineStr"/>
      <c r="B13" s="2" t="inlineStr">
        <is>
          <t>Melis</t>
        </is>
      </c>
      <c r="C13" s="2" t="inlineStr">
        <is>
          <t>Haftanın tanışma günleri ve ilk seans teyitleri</t>
        </is>
      </c>
      <c r="D13" s="2" t="inlineStr">
        <is>
          <t>Pzt</t>
        </is>
      </c>
      <c r="E13" s="2" t="inlineStr">
        <is>
          <t>Satış</t>
        </is>
      </c>
      <c r="F13" s="2" t="inlineStr">
        <is>
          <t>Bu hafta tanışması ya da başlangıcı olan herkesin DURUM'u net, hatırlatma tarihleri girilmiş.</t>
        </is>
      </c>
      <c r="G13" s="2" t="inlineStr">
        <is>
          <t>30 dk</t>
        </is>
      </c>
      <c r="H13" s="2" t="inlineStr"/>
    </row>
    <row r="14">
      <c r="A14" s="2" t="inlineStr"/>
      <c r="B14" s="2" t="inlineStr">
        <is>
          <t>Melis</t>
        </is>
      </c>
      <c r="C14" s="2" t="inlineStr">
        <is>
          <t>Ödeme ve taksit vadesi taraması</t>
        </is>
      </c>
      <c r="D14" s="2" t="inlineStr">
        <is>
          <t>Çar</t>
        </is>
      </c>
      <c r="E14" s="2" t="inlineStr">
        <is>
          <t>Muhasebe</t>
        </is>
      </c>
      <c r="F14" s="2" t="inlineStr">
        <is>
          <t>KAYIT-TAHSİLAT'ta sarı satırlar (vadesi gelmiş) arandı ya da mesaj atıldı.</t>
        </is>
      </c>
      <c r="G14" s="2" t="inlineStr">
        <is>
          <t>30 dk</t>
        </is>
      </c>
      <c r="H14" s="2" t="inlineStr"/>
    </row>
    <row r="15">
      <c r="A15" s="2" t="inlineStr"/>
      <c r="B15" s="2" t="inlineStr">
        <is>
          <t>Melis</t>
        </is>
      </c>
      <c r="C15" s="2" t="inlineStr">
        <is>
          <t>2-Ulaşılamadı listesini temizle</t>
        </is>
      </c>
      <c r="D15" s="2" t="inlineStr">
        <is>
          <t>Çar</t>
        </is>
      </c>
      <c r="E15" s="2" t="inlineStr">
        <is>
          <t>Satış</t>
        </is>
      </c>
      <c r="F15" s="2" t="inlineStr">
        <is>
          <t>3 denemesi dolanlar son mesajı aldı ve 10-Sonraki dönem'e alındı. Liste boş.</t>
        </is>
      </c>
      <c r="G15" s="2" t="inlineStr">
        <is>
          <t>30 dk</t>
        </is>
      </c>
      <c r="H15" s="2" t="inlineStr"/>
    </row>
    <row r="16">
      <c r="A16" s="2" t="inlineStr"/>
      <c r="B16" s="2" t="inlineStr">
        <is>
          <t>Melis</t>
        </is>
      </c>
      <c r="C16" s="2" t="inlineStr">
        <is>
          <t>Tanışmaya gelip kaydolmayanlarla ikinci görüşme</t>
        </is>
      </c>
      <c r="D16" s="2" t="inlineStr">
        <is>
          <t>Per</t>
        </is>
      </c>
      <c r="E16" s="2" t="inlineStr">
        <is>
          <t>Satış</t>
        </is>
      </c>
      <c r="F16" s="2" t="inlineStr">
        <is>
          <t>Her birinin gerçek engeli NOT'ta. Karar gereken durumlar Yağız'a iletildi.</t>
        </is>
      </c>
      <c r="G16" s="2" t="inlineStr">
        <is>
          <t>45 dk</t>
        </is>
      </c>
      <c r="H16" s="2" t="inlineStr"/>
    </row>
    <row r="17">
      <c r="A17" s="2" t="inlineStr"/>
      <c r="B17" s="2" t="inlineStr">
        <is>
          <t>Melis</t>
        </is>
      </c>
      <c r="C17" s="2" t="inlineStr">
        <is>
          <t>Haftanın belgeleri muhasebe klasöründe</t>
        </is>
      </c>
      <c r="D17" s="2" t="inlineStr">
        <is>
          <t>Cum</t>
        </is>
      </c>
      <c r="E17" s="2" t="inlineStr">
        <is>
          <t>Muhasebe</t>
        </is>
      </c>
      <c r="F17" s="2" t="inlineStr">
        <is>
          <t>Tüm dekont, fatura, makbuz ilgili ayın GELIR/GIDER klasöründe. Eksik belge listesi Yağız'a gitti.</t>
        </is>
      </c>
      <c r="G17" s="2" t="inlineStr">
        <is>
          <t>45 dk</t>
        </is>
      </c>
      <c r="H17" s="2" t="inlineStr"/>
    </row>
    <row r="18">
      <c r="A18" s="2" t="inlineStr"/>
      <c r="B18" s="2" t="inlineStr">
        <is>
          <t>Melis</t>
        </is>
      </c>
      <c r="C18" s="2" t="inlineStr">
        <is>
          <t>3 Google yorumu iste</t>
        </is>
      </c>
      <c r="D18" s="2" t="inlineStr">
        <is>
          <t>Cum</t>
        </is>
      </c>
      <c r="E18" s="2" t="inlineStr">
        <is>
          <t>Marka</t>
        </is>
      </c>
      <c r="F18" s="2" t="inlineStr">
        <is>
          <t>Memnun katılımcılara KATILIMCI_YORUMU mesajı. Gelen yorum sayısı SKOR'a.</t>
        </is>
      </c>
      <c r="G18" s="2" t="inlineStr">
        <is>
          <t>20 dk</t>
        </is>
      </c>
      <c r="H18" s="2" t="inlineStr"/>
    </row>
    <row r="19">
      <c r="A19" s="2" t="inlineStr"/>
      <c r="B19" s="2" t="inlineStr">
        <is>
          <t>Melis</t>
        </is>
      </c>
      <c r="C19" s="2" t="inlineStr">
        <is>
          <t>Kayıp nedenleri özeti</t>
        </is>
      </c>
      <c r="D19" s="2" t="inlineStr">
        <is>
          <t>Cum</t>
        </is>
      </c>
      <c r="E19" s="2" t="inlineStr">
        <is>
          <t>Satış</t>
        </is>
      </c>
      <c r="F19" s="2" t="inlineStr">
        <is>
          <t>Haftanın en sık 3 kayıp nedeni, tek cümleyle, Pazartesi toplantısı için hazır.</t>
        </is>
      </c>
      <c r="G19" s="2" t="inlineStr">
        <is>
          <t>20 dk</t>
        </is>
      </c>
      <c r="H19" s="2" t="inlineStr"/>
    </row>
  </sheetData>
  <conditionalFormatting sqref="A2:H19">
    <cfRule type="expression" priority="1" dxfId="0">
      <formula>OR($A2=TRUE,$A2="✓")</formula>
    </cfRule>
  </conditionalFormatting>
  <dataValidations count="1">
    <dataValidation sqref="A2:A19" showDropDown="0" showInputMessage="0" showErrorMessage="0" allowBlank="1" type="list">
      <formula1>"✓"</formula1>
    </dataValidation>
  </dataValidations>
  <pageMargins left="0.75" right="0.75" top="1" bottom="1" header="0.5" footer="0.5"/>
</worksheet>
</file>

<file path=xl/worksheets/sheet7.xml><?xml version="1.0" encoding="utf-8"?>
<worksheet xmlns="http://schemas.openxmlformats.org/spreadsheetml/2006/main">
  <sheetPr>
    <tabColor rgb="008E24AA"/>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42" customWidth="1" min="3" max="3"/>
    <col width="11" customWidth="1" min="4" max="4"/>
    <col width="11" customWidth="1" min="5" max="5"/>
    <col width="70" customWidth="1" min="6" max="6"/>
    <col width="9" customWidth="1" min="7" max="7"/>
    <col width="42" customWidth="1" min="8" max="8"/>
  </cols>
  <sheetData>
    <row r="1" ht="28" customHeight="1">
      <c r="A1" s="1" t="inlineStr">
        <is>
          <t>✓</t>
        </is>
      </c>
      <c r="B1" s="1" t="inlineStr">
        <is>
          <t>Kim</t>
        </is>
      </c>
      <c r="C1" s="1" t="inlineStr">
        <is>
          <t>Görev</t>
        </is>
      </c>
      <c r="D1" s="1" t="inlineStr">
        <is>
          <t>Ne zaman</t>
        </is>
      </c>
      <c r="E1" s="1" t="inlineStr">
        <is>
          <t>Alan</t>
        </is>
      </c>
      <c r="F1" s="1" t="inlineStr">
        <is>
          <t>Bitti sayılması için</t>
        </is>
      </c>
      <c r="G1" s="1" t="inlineStr">
        <is>
          <t>Süre</t>
        </is>
      </c>
      <c r="H1" s="1" t="inlineStr">
        <is>
          <t>Claude'a şöyle ver</t>
        </is>
      </c>
    </row>
    <row r="2">
      <c r="A2" s="2" t="inlineStr"/>
      <c r="B2" s="2" t="inlineStr">
        <is>
          <t>Yağız</t>
        </is>
      </c>
      <c r="C2" s="2" t="inlineStr">
        <is>
          <t>Ayı kapat: gelir, gider, program bazında kârlılık</t>
        </is>
      </c>
      <c r="D2" s="2" t="inlineStr">
        <is>
          <t>Ayın 1-3'ü</t>
        </is>
      </c>
      <c r="E2" s="2" t="inlineStr">
        <is>
          <t>Yönetim</t>
        </is>
      </c>
      <c r="F2" s="2" t="inlineStr">
        <is>
          <t>Muhasebe özeti hazır. Reklam arkadaşının bildirdiği harcama / kayıt sayısı tabloya işlendi.</t>
        </is>
      </c>
      <c r="G2" s="2" t="inlineStr">
        <is>
          <t>60 dk</t>
        </is>
      </c>
      <c r="H2" s="2" t="inlineStr">
        <is>
          <t>/ay-kapat</t>
        </is>
      </c>
    </row>
    <row r="3">
      <c r="A3" s="2" t="inlineStr"/>
      <c r="B3" s="2" t="inlineStr">
        <is>
          <t>Yağız</t>
        </is>
      </c>
      <c r="C3" s="2" t="inlineStr">
        <is>
          <t>Gelecek ayın reklam bütçesini onayla</t>
        </is>
      </c>
      <c r="D3" s="2" t="inlineStr">
        <is>
          <t>Ayın 1-3'ü</t>
        </is>
      </c>
      <c r="E3" s="2" t="inlineStr">
        <is>
          <t>Reklam devri</t>
        </is>
      </c>
      <c r="F3" s="2" t="inlineStr">
        <is>
          <t>Reklam arkadaşı kayıt başı maliyete göre öneri getirdi, Yağız onayladı ya da düzeltti. Bütçe kararı Yağız'da kalır, uygulama arkadaşta.</t>
        </is>
      </c>
      <c r="G3" s="2" t="inlineStr">
        <is>
          <t>15 dk</t>
        </is>
      </c>
      <c r="H3" s="2" t="inlineStr"/>
    </row>
    <row r="4">
      <c r="A4" s="2" t="inlineStr"/>
      <c r="B4" s="2" t="inlineStr">
        <is>
          <t>Yağız</t>
        </is>
      </c>
      <c r="C4" s="2" t="inlineStr">
        <is>
          <t>Aylık SEO ve AI görünürlük karşılaştırması</t>
        </is>
      </c>
      <c r="D4" s="2" t="inlineStr">
        <is>
          <t>1. hafta</t>
        </is>
      </c>
      <c r="E4" s="2" t="inlineStr">
        <is>
          <t>SEO</t>
        </is>
      </c>
      <c r="F4" s="2" t="inlineStr">
        <is>
          <t>Search Console tıklama/gösterim/ortalama sıra, GA4 organik ve AI Assistant kanalı, geçen ayla fark.</t>
        </is>
      </c>
      <c r="G4" s="2" t="inlineStr">
        <is>
          <t>45 dk</t>
        </is>
      </c>
      <c r="H4" s="2" t="inlineStr">
        <is>
          <t>"Aylık SEO karşılaştırması yap"</t>
        </is>
      </c>
    </row>
    <row r="5">
      <c r="A5" s="2" t="inlineStr"/>
      <c r="B5" s="2" t="inlineStr">
        <is>
          <t>Yağız</t>
        </is>
      </c>
      <c r="C5" s="2" t="inlineStr">
        <is>
          <t>Rakip taraması</t>
        </is>
      </c>
      <c r="D5" s="2" t="inlineStr">
        <is>
          <t>1. hafta</t>
        </is>
      </c>
      <c r="E5" s="2" t="inlineStr">
        <is>
          <t>Strateji</t>
        </is>
      </c>
      <c r="F5" s="2" t="inlineStr">
        <is>
          <t>Yeni program, fiyat, kampanya, içerik hamlesi yapan rakipler ve bizim tek cevabımız.</t>
        </is>
      </c>
      <c r="G5" s="2" t="inlineStr">
        <is>
          <t>30 dk</t>
        </is>
      </c>
      <c r="H5" s="2" t="inlineStr">
        <is>
          <t>"Rakipleri kontrol et"</t>
        </is>
      </c>
    </row>
    <row r="6">
      <c r="A6" s="2" t="inlineStr"/>
      <c r="B6" s="2" t="inlineStr">
        <is>
          <t>Yağız</t>
        </is>
      </c>
      <c r="C6" s="2" t="inlineStr">
        <is>
          <t>Gelecek ayın içerik takvimini reklam arkadaşına brief et</t>
        </is>
      </c>
      <c r="D6" s="2" t="inlineStr">
        <is>
          <t>Son hafta</t>
        </is>
      </c>
      <c r="E6" s="2" t="inlineStr">
        <is>
          <t>Marka</t>
        </is>
      </c>
      <c r="F6" s="2" t="inlineStr">
        <is>
          <t>Hangi program, hangi tarih, hangi mesaj öne çıkacak — metin ve öncelik listesi arkadaşa iletildi. Görsel/post üretimi ve yayın takvimi onun elinde.</t>
        </is>
      </c>
      <c r="G6" s="2" t="inlineStr">
        <is>
          <t>45 dk</t>
        </is>
      </c>
      <c r="H6" s="2" t="inlineStr">
        <is>
          <t>"Ekim için program önceliklerini ve mesaj başlıklarını çıkar"</t>
        </is>
      </c>
    </row>
    <row r="7">
      <c r="A7" s="2" t="inlineStr"/>
      <c r="B7" s="2" t="inlineStr">
        <is>
          <t>Yağız</t>
        </is>
      </c>
      <c r="C7" s="2" t="inlineStr">
        <is>
          <t>Marka dili denetimi</t>
        </is>
      </c>
      <c r="D7" s="2" t="inlineStr">
        <is>
          <t>Son hafta</t>
        </is>
      </c>
      <c r="E7" s="2" t="inlineStr">
        <is>
          <t>Marka</t>
        </is>
      </c>
      <c r="F7" s="2" t="inlineStr">
        <is>
          <t>Son 30 günün reklam arkadaşı tarafından üretilen post ve reklam metinleri dil kurallarına uyuyor mu ('ders' yok, uzun tire yok, postta telefon yok, eğitmen adı reklamda yok). Uymayanlar listelendi, arkadaşa geri bildirildi.</t>
        </is>
      </c>
      <c r="G7" s="2" t="inlineStr">
        <is>
          <t>20 dk</t>
        </is>
      </c>
      <c r="H7" s="2" t="inlineStr">
        <is>
          <t>"Son 30 günün post ve reklam metinlerini marka kurallarına göre denetle"</t>
        </is>
      </c>
    </row>
    <row r="8">
      <c r="A8" s="2" t="inlineStr"/>
      <c r="B8" s="2" t="inlineStr">
        <is>
          <t>Yağız</t>
        </is>
      </c>
      <c r="C8" s="2" t="inlineStr">
        <is>
          <t>PR / backlink dalgası</t>
        </is>
      </c>
      <c r="D8" s="2" t="inlineStr">
        <is>
          <t>2. hafta</t>
        </is>
      </c>
      <c r="E8" s="2" t="inlineStr">
        <is>
          <t>PR</t>
        </is>
      </c>
      <c r="F8" s="2" t="inlineStr">
        <is>
          <t>LINK-BUILDING planındaki dalga gönderildi, cevaplar takipte.</t>
        </is>
      </c>
      <c r="G8" s="2" t="inlineStr">
        <is>
          <t>60 dk</t>
        </is>
      </c>
      <c r="H8" s="2" t="inlineStr"/>
    </row>
    <row r="9">
      <c r="A9" s="2" t="inlineStr"/>
      <c r="B9" s="2" t="inlineStr">
        <is>
          <t>Yağız</t>
        </is>
      </c>
      <c r="C9" s="2" t="inlineStr">
        <is>
          <t>Eğitmenlerle 30 dakika</t>
        </is>
      </c>
      <c r="D9" s="2" t="inlineStr">
        <is>
          <t>3. hafta</t>
        </is>
      </c>
      <c r="E9" s="2" t="inlineStr">
        <is>
          <t>Kalite</t>
        </is>
      </c>
      <c r="F9" s="2" t="inlineStr">
        <is>
          <t>Katılımcı memnuniyeti, bırakma riski olanlar, içerik fırsatları konuşuldu.</t>
        </is>
      </c>
      <c r="G9" s="2" t="inlineStr">
        <is>
          <t>30 dk</t>
        </is>
      </c>
      <c r="H9" s="2" t="inlineStr"/>
    </row>
    <row r="10">
      <c r="A10" s="2" t="inlineStr"/>
      <c r="B10" s="2" t="inlineStr">
        <is>
          <t>Yağız</t>
        </is>
      </c>
      <c r="C10" s="2" t="inlineStr">
        <is>
          <t>90 GÜN planını güncelle</t>
        </is>
      </c>
      <c r="D10" s="2" t="inlineStr">
        <is>
          <t>Son gün</t>
        </is>
      </c>
      <c r="E10" s="2" t="inlineStr">
        <is>
          <t>Yönetim</t>
        </is>
      </c>
      <c r="F10" s="2" t="inlineStr">
        <is>
          <t>Biten fazlar işaretli, kayan işler yeni haftaya taşındı.</t>
        </is>
      </c>
      <c r="G10" s="2" t="inlineStr">
        <is>
          <t>20 dk</t>
        </is>
      </c>
      <c r="H10" s="2" t="inlineStr"/>
    </row>
    <row r="11">
      <c r="A11" s="2" t="inlineStr"/>
      <c r="B11" s="2" t="inlineStr">
        <is>
          <t>Melis</t>
        </is>
      </c>
      <c r="C11" s="2" t="inlineStr">
        <is>
          <t>Ay sonu tahsilat mutabakatı</t>
        </is>
      </c>
      <c r="D11" s="2" t="inlineStr">
        <is>
          <t>Son 2 gün</t>
        </is>
      </c>
      <c r="E11" s="2" t="inlineStr">
        <is>
          <t>Muhasebe</t>
        </is>
      </c>
      <c r="F11" s="2" t="inlineStr">
        <is>
          <t>KAYIT-TAHSİLAT ile banka/POS hareketleri tek tek eşleşti. Eşleşmeyenler listelendi.</t>
        </is>
      </c>
      <c r="G11" s="2" t="inlineStr">
        <is>
          <t>90 dk</t>
        </is>
      </c>
      <c r="H11" s="2" t="inlineStr"/>
    </row>
    <row r="12">
      <c r="A12" s="2" t="inlineStr"/>
      <c r="B12" s="2" t="inlineStr">
        <is>
          <t>Melis</t>
        </is>
      </c>
      <c r="C12" s="2" t="inlineStr">
        <is>
          <t>Ayın GELIR listesini doldur</t>
        </is>
      </c>
      <c r="D12" s="2" t="inlineStr">
        <is>
          <t>Son gün</t>
        </is>
      </c>
      <c r="E12" s="2" t="inlineStr">
        <is>
          <t>Muhasebe</t>
        </is>
      </c>
      <c r="F12" s="2" t="inlineStr">
        <is>
          <t>MUHASEBE &gt; ay &gt; GELIR klasöründeki CSV dolu; Yağız /ay-kapat çalıştırabilir.</t>
        </is>
      </c>
      <c r="G12" s="2" t="inlineStr">
        <is>
          <t>45 dk</t>
        </is>
      </c>
      <c r="H12" s="2" t="inlineStr"/>
    </row>
    <row r="13">
      <c r="A13" s="2" t="inlineStr"/>
      <c r="B13" s="2" t="inlineStr">
        <is>
          <t>Melis</t>
        </is>
      </c>
      <c r="C13" s="2" t="inlineStr">
        <is>
          <t>Gelecek ayın taksit takvimi</t>
        </is>
      </c>
      <c r="D13" s="2" t="inlineStr">
        <is>
          <t>Son gün</t>
        </is>
      </c>
      <c r="E13" s="2" t="inlineStr">
        <is>
          <t>Muhasebe</t>
        </is>
      </c>
      <c r="F13" s="2" t="inlineStr">
        <is>
          <t>Vadesi gelecek ay dolan tüm ödemeler tarihli liste halinde.</t>
        </is>
      </c>
      <c r="G13" s="2" t="inlineStr">
        <is>
          <t>30 dk</t>
        </is>
      </c>
      <c r="H13" s="2" t="inlineStr"/>
    </row>
    <row r="14">
      <c r="A14" s="2" t="inlineStr"/>
      <c r="B14" s="2" t="inlineStr">
        <is>
          <t>Melis</t>
        </is>
      </c>
      <c r="C14" s="2" t="inlineStr">
        <is>
          <t>Sonraki dönem ve kayıp adaylara geri dönüş</t>
        </is>
      </c>
      <c r="D14" s="2" t="inlineStr">
        <is>
          <t>2. hafta</t>
        </is>
      </c>
      <c r="E14" s="2" t="inlineStr">
        <is>
          <t>Satış</t>
        </is>
      </c>
      <c r="F14" s="2" t="inlineStr">
        <is>
          <t>Yalnızca iletişim izni 'Evet' olanlara yeni dönem/tanışma günü mesajı gitti.</t>
        </is>
      </c>
      <c r="G14" s="2" t="inlineStr">
        <is>
          <t>60 dk</t>
        </is>
      </c>
      <c r="H14" s="2" t="inlineStr"/>
    </row>
    <row r="15">
      <c r="A15" s="2" t="inlineStr"/>
      <c r="B15" s="2" t="inlineStr">
        <is>
          <t>Melis</t>
        </is>
      </c>
      <c r="C15" s="2" t="inlineStr">
        <is>
          <t>Aylık kayıp nedenleri raporu</t>
        </is>
      </c>
      <c r="D15" s="2" t="inlineStr">
        <is>
          <t>Son hafta</t>
        </is>
      </c>
      <c r="E15" s="2" t="inlineStr">
        <is>
          <t>Satış</t>
        </is>
      </c>
      <c r="F15" s="2" t="inlineStr">
        <is>
          <t>En sık 3 neden, sayılarıyla. Yağız'a gitti.</t>
        </is>
      </c>
      <c r="G15" s="2" t="inlineStr">
        <is>
          <t>30 dk</t>
        </is>
      </c>
      <c r="H15" s="2" t="inlineStr"/>
    </row>
    <row r="16">
      <c r="A16" s="2" t="inlineStr"/>
      <c r="B16" s="2" t="inlineStr">
        <is>
          <t>Melis</t>
        </is>
      </c>
      <c r="C16" s="2" t="inlineStr">
        <is>
          <t>Katılımcı memnuniyet anketi (5 soru)</t>
        </is>
      </c>
      <c r="D16" s="2" t="inlineStr">
        <is>
          <t>3. hafta</t>
        </is>
      </c>
      <c r="E16" s="2" t="inlineStr">
        <is>
          <t>Kalite</t>
        </is>
      </c>
      <c r="F16" s="2" t="inlineStr">
        <is>
          <t>Aktif katılımcılara gönderildi, sonuçlar özetlendi, olumlu yorumlar marka için ayrıldı.</t>
        </is>
      </c>
      <c r="G16" s="2" t="inlineStr">
        <is>
          <t>45 dk</t>
        </is>
      </c>
      <c r="H16" s="2" t="inlineStr"/>
    </row>
    <row r="17">
      <c r="A17" s="2" t="inlineStr"/>
      <c r="B17" s="2" t="inlineStr">
        <is>
          <t>Melis</t>
        </is>
      </c>
      <c r="C17" s="2" t="inlineStr">
        <is>
          <t>Muhasebeciye belge teslimi</t>
        </is>
      </c>
      <c r="D17" s="2" t="inlineStr">
        <is>
          <t>Ayın 5'i</t>
        </is>
      </c>
      <c r="E17" s="2" t="inlineStr">
        <is>
          <t>Muhasebe</t>
        </is>
      </c>
      <c r="F17" s="2" t="inlineStr">
        <is>
          <t>Bir önceki ayın tüm belgeleri eksiksiz teslim edildi.</t>
        </is>
      </c>
      <c r="G17" s="2" t="inlineStr">
        <is>
          <t>30 dk</t>
        </is>
      </c>
      <c r="H17" s="2" t="inlineStr"/>
    </row>
  </sheetData>
  <conditionalFormatting sqref="A2:H17">
    <cfRule type="expression" priority="1" dxfId="0">
      <formula>OR($A2=TRUE,$A2="✓")</formula>
    </cfRule>
  </conditionalFormatting>
  <dataValidations count="1">
    <dataValidation sqref="A2:A17" showDropDown="0" showInputMessage="0" showErrorMessage="0" allowBlank="1" type="list">
      <formula1>"✓"</formula1>
    </dataValidation>
  </dataValidations>
  <pageMargins left="0.75" right="0.75" top="1" bottom="1" header="0.5" footer="0.5"/>
</worksheet>
</file>

<file path=xl/worksheets/sheet8.xml><?xml version="1.0" encoding="utf-8"?>
<worksheet xmlns="http://schemas.openxmlformats.org/spreadsheetml/2006/main">
  <sheetPr>
    <tabColor rgb="00000000"/>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3" customWidth="1" min="3" max="3"/>
    <col width="20" customWidth="1" min="4" max="4"/>
    <col width="30" customWidth="1" min="5" max="5"/>
    <col width="80" customWidth="1" min="6" max="6"/>
    <col width="60" customWidth="1" min="7" max="7"/>
  </cols>
  <sheetData>
    <row r="1" ht="28" customHeight="1">
      <c r="A1" s="1" t="inlineStr">
        <is>
          <t>✓</t>
        </is>
      </c>
      <c r="B1" s="1" t="inlineStr">
        <is>
          <t>Hafta</t>
        </is>
      </c>
      <c r="C1" s="1" t="inlineStr">
        <is>
          <t>Tarih</t>
        </is>
      </c>
      <c r="D1" s="1" t="inlineStr">
        <is>
          <t>Faz</t>
        </is>
      </c>
      <c r="E1" s="1" t="inlineStr">
        <is>
          <t>Haftanın hedefi</t>
        </is>
      </c>
      <c r="F1" s="1" t="inlineStr">
        <is>
          <t>Yağız teslimatları</t>
        </is>
      </c>
      <c r="G1" s="1" t="inlineStr">
        <is>
          <t>Melis teslimatları</t>
        </is>
      </c>
    </row>
    <row r="2">
      <c r="A2" s="2" t="inlineStr">
        <is>
          <t>✓</t>
        </is>
      </c>
      <c r="B2" s="2" t="inlineStr">
        <is>
          <t>0</t>
        </is>
      </c>
      <c r="C2" s="2" t="inlineStr">
        <is>
          <t>17-20 Eyl</t>
        </is>
      </c>
      <c r="D2" s="2" t="inlineStr">
        <is>
          <t>1 · KAYIT SPRİNTİ</t>
        </is>
      </c>
      <c r="E2" s="2" t="inlineStr">
        <is>
          <t>Sistemi kur, reklamı devret, hiçbir başvuru kaybolmasın</t>
        </is>
      </c>
      <c r="F2" s="2" t="inlineStr">
        <is>
          <t>Sheet + otomasyon kurulumu. 'oyunculuk kursu istanbul' iç link ağı — 5 makale güncellendi, build temiz, deploy bekliyor. REKLAM ARKADAŞI BRİFİ sekmesi reklam arkadaşına iletildi. GA4 3 olayı önemli etkinlik (5 dk). Search Console doğrulaması (10 dk). 19 Eylül tanışma günü.</t>
        </is>
      </c>
      <c r="G2" s="2" t="inlineStr">
        <is>
          <t>Eğitim: BAŞLA sekmesi + 10 örnek arama. Eski başvuruların durumunu netleştir. 19 Eylül katılımcılarına hatırlatma.</t>
        </is>
      </c>
    </row>
    <row r="3">
      <c r="A3" s="2" t="inlineStr"/>
      <c r="B3" s="2" t="inlineStr">
        <is>
          <t>1</t>
        </is>
      </c>
      <c r="C3" s="2" t="inlineStr">
        <is>
          <t>21-27 Eyl</t>
        </is>
      </c>
      <c r="D3" s="2" t="inlineStr">
        <is>
          <t>1 · KAYIT SPRİNTİ</t>
        </is>
      </c>
      <c r="E3" s="2" t="inlineStr">
        <is>
          <t>19 Eylül'e gelenleri kayda çevir</t>
        </is>
      </c>
      <c r="F3" s="2" t="inlineStr">
        <is>
          <t>'yaratıcı drama kursu istanbul' için sayfa güçlendirme (2. SEO hedefi, plandan 6 hafta erken). Google Business Profile aç. 27 Eylül Youth tanışma günü hazırlığı. Reklam arkadaşına Youth için veliye özel DM akışını ilet (metni o yazar, kuralları BAŞLA'da).</t>
        </is>
      </c>
      <c r="G3" s="2" t="inlineStr">
        <is>
          <t>19 Eylül'e gelen herkesle 48 saat içinde görüşme. Ağustos-Eylül kayıt ve tahsilatlarını geriye dönük KAYIT-TAHSİLAT'a gir.</t>
        </is>
      </c>
    </row>
    <row r="4">
      <c r="A4" s="2" t="inlineStr"/>
      <c r="B4" s="2" t="inlineStr">
        <is>
          <t>2</t>
        </is>
      </c>
      <c r="C4" s="2" t="inlineStr">
        <is>
          <t>28 Eyl-4 Eki</t>
        </is>
      </c>
      <c r="D4" s="2" t="inlineStr">
        <is>
          <t>1 · KAYIT SPRİNTİ</t>
        </is>
      </c>
      <c r="E4" s="2" t="inlineStr">
        <is>
          <t>Dönem başlangıçları dolu açılsın</t>
        </is>
      </c>
      <c r="F4" s="2" t="inlineStr">
        <is>
          <t>Musical Lab başlangıcı (28 Eylül). Basın/kurum ağı 1. dalga (LINK-BUILDING) — otorite fazından erkene çekildi. Ekim başlangıçları için hangi programın önceliği olduğunu reklam arkadaşına yaz.</t>
        </is>
      </c>
      <c r="G4" s="2" t="inlineStr">
        <is>
          <t>Ödeme bekleyenleri kapat. İlk seans teyitleri. 10-Sonraki dönem listesine ara dönem/Ocak bilgisi.</t>
        </is>
      </c>
    </row>
    <row r="5">
      <c r="A5" s="2" t="inlineStr"/>
      <c r="B5" s="2" t="inlineStr">
        <is>
          <t>3</t>
        </is>
      </c>
      <c r="C5" s="2" t="inlineStr">
        <is>
          <t>5-11 Eki</t>
        </is>
      </c>
      <c r="D5" s="2" t="inlineStr">
        <is>
          <t>2 · MARKA TEMELİ</t>
        </is>
      </c>
      <c r="E5" s="2" t="inlineStr">
        <is>
          <t>Marka platformu</t>
        </is>
      </c>
      <c r="F5" s="2" t="inlineStr">
        <is>
          <t>Tek sayfa: neden varız, kime, neden biz (3 sütun), ses ve ton. 8 katılımcı/veli ile 15'er dakikalık 'neden bizi seçtin' görüşmesi. Claude ile taslak, sen son söz.</t>
        </is>
      </c>
      <c r="G5" s="2" t="inlineStr">
        <is>
          <t>8 görüşmeyi ayarla, notları tek dosyada topla.</t>
        </is>
      </c>
    </row>
    <row r="6">
      <c r="A6" s="2" t="inlineStr"/>
      <c r="B6" s="2" t="inlineStr">
        <is>
          <t>4</t>
        </is>
      </c>
      <c r="C6" s="2" t="inlineStr">
        <is>
          <t>12-18 Eki</t>
        </is>
      </c>
      <c r="D6" s="2" t="inlineStr">
        <is>
          <t>2 · MARKA TEMELİ</t>
        </is>
      </c>
      <c r="E6" s="2" t="inlineStr">
        <is>
          <t>Marka cümleleri</t>
        </is>
      </c>
      <c r="F6" s="2" t="inlineStr">
        <is>
          <t>Ana cümle için 3 aday, story anketiyle seç (reklam A/B testi artık arkadaşın elinde, istersen o da dener). Her program için tek cümlelik vaat. Instagram bio, GBP açıklaması, WhatsApp profil, e-posta imzası yeni dille — bunlar metin, sen yazarsın.</t>
        </is>
      </c>
      <c r="G6" s="2" t="inlineStr">
        <is>
          <t>Arama scriptinin açılış cümlesini yeni marka cümlesiyle güncelle.</t>
        </is>
      </c>
    </row>
    <row r="7">
      <c r="A7" s="2" t="inlineStr"/>
      <c r="B7" s="2" t="inlineStr">
        <is>
          <t>5</t>
        </is>
      </c>
      <c r="C7" s="2" t="inlineStr">
        <is>
          <t>19-25 Eki</t>
        </is>
      </c>
      <c r="D7" s="2" t="inlineStr">
        <is>
          <t>2 · MARKA TEMELİ</t>
        </is>
      </c>
      <c r="E7" s="2" t="inlineStr">
        <is>
          <t>Kurumsal kimlik kılavuzu (karar), üretim reklam arkadaşında</t>
        </is>
      </c>
      <c r="F7" s="2" t="inlineStr">
        <is>
          <t>Logo kullanımı, siyah + neon renk oranı, tipografi, fotoğraf dili (gerçek an, sahne ışığı, kalabalık yok) — kılavuz metni sen yazarsın. Post/story/reels kapak/broşür şablonlarını bu kılavuza göre üretmek reklam-tasarım arkadaşının işi; kılavuzu ona teslim et.</t>
        </is>
      </c>
      <c r="G7" s="2" t="inlineStr">
        <is>
          <t>Katılımcı sözü için 10 gerçek yorumu topla (izinli), arkadaşa ham metin olarak ilet.</t>
        </is>
      </c>
    </row>
    <row r="8">
      <c r="A8" s="2" t="inlineStr"/>
      <c r="B8" s="2" t="inlineStr">
        <is>
          <t>6</t>
        </is>
      </c>
      <c r="C8" s="2" t="inlineStr">
        <is>
          <t>26 Eki-1 Kas</t>
        </is>
      </c>
      <c r="D8" s="2" t="inlineStr">
        <is>
          <t>2 · MARKA TEMELİ</t>
        </is>
      </c>
      <c r="E8" s="2" t="inlineStr">
        <is>
          <t>İmajı her temas noktasına taşı</t>
        </is>
      </c>
      <c r="F8" s="2" t="inlineStr">
        <is>
          <t>Site ana sayfa ve hakkında metinleri yeni cümlelerle (kod, sen). Instagram vitrin, PDF kapak şablonları arkadaşın elinde — sen hangi programın öne çıkacağını söylersin.</t>
        </is>
      </c>
      <c r="G8" s="2" t="inlineStr">
        <is>
          <t>Mesaj şablonlarını yeni dille güncelle. Tanışma günü karşılama kiti (isim kartı, QR ile form).</t>
        </is>
      </c>
    </row>
    <row r="9">
      <c r="A9" s="2" t="inlineStr"/>
      <c r="B9" s="2" t="inlineStr">
        <is>
          <t>7</t>
        </is>
      </c>
      <c r="C9" s="2" t="inlineStr">
        <is>
          <t>2-8 Kas</t>
        </is>
      </c>
      <c r="D9" s="2" t="inlineStr">
        <is>
          <t>3 · OTORİTE</t>
        </is>
      </c>
      <c r="E9" s="2" t="inlineStr">
        <is>
          <t>SEO: kalan sayfalar + AI görünürlük</t>
        </is>
      </c>
      <c r="F9" s="2" t="inlineStr">
        <is>
          <t>Search Console verisiyle sıradaki en yüksek hacimli boşluk sayfası. AI Overview/asistan kanalı büyüttüğü için llms.txt ve yapılandırılmış veri güncel mi kontrol.</t>
        </is>
      </c>
      <c r="G9" s="2" t="inlineStr">
        <is>
          <t>Google yorum kampanyası: hedef ay sonunda 25 yorum.</t>
        </is>
      </c>
    </row>
    <row r="10">
      <c r="A10" s="2" t="inlineStr"/>
      <c r="B10" s="2" t="inlineStr">
        <is>
          <t>8</t>
        </is>
      </c>
      <c r="C10" s="2" t="inlineStr">
        <is>
          <t>9-15 Kas</t>
        </is>
      </c>
      <c r="D10" s="2" t="inlineStr">
        <is>
          <t>3 · OTORİTE</t>
        </is>
      </c>
      <c r="E10" s="2" t="inlineStr">
        <is>
          <t>Basın ve kurum ağı 2. dalga</t>
        </is>
      </c>
      <c r="F10" s="2" t="inlineStr">
        <is>
          <t>t24/Cumhuriyet kültür servisi, ArtDog/Bant Mag söyleşi pitch'i. Üniversite tiyatro kulüplerine misafir atölye teklifi.</t>
        </is>
      </c>
      <c r="G10" s="2" t="inlineStr">
        <is>
          <t>Basın ve kurum cevaplarını takip tablosuna işle.</t>
        </is>
      </c>
    </row>
    <row r="11">
      <c r="A11" s="2" t="inlineStr"/>
      <c r="B11" s="2" t="inlineStr">
        <is>
          <t>9</t>
        </is>
      </c>
      <c r="C11" s="2" t="inlineStr">
        <is>
          <t>16-22 Kas</t>
        </is>
      </c>
      <c r="D11" s="2" t="inlineStr">
        <is>
          <t>3 · OTORİTE</t>
        </is>
      </c>
      <c r="E11" s="2" t="inlineStr">
        <is>
          <t>Katılımcı hikâyeleri</t>
        </is>
      </c>
      <c r="F11" s="2" t="inlineStr">
        <is>
          <t>3 kısa video röportaj için gönüllü bul, görüşmeyi sen yap (neden geldi, ne değişti). Çekim/kurgu/yayın reklam-tasarım arkadaşının işi.</t>
        </is>
      </c>
      <c r="G11" s="2" t="inlineStr">
        <is>
          <t>Röportaj takvimini ayarla, izin formlarını topla.</t>
        </is>
      </c>
    </row>
    <row r="12">
      <c r="A12" s="2" t="inlineStr"/>
      <c r="B12" s="2" t="inlineStr">
        <is>
          <t>10</t>
        </is>
      </c>
      <c r="C12" s="2" t="inlineStr">
        <is>
          <t>23-29 Kas</t>
        </is>
      </c>
      <c r="D12" s="2" t="inlineStr">
        <is>
          <t>3 · OTORİTE</t>
        </is>
      </c>
      <c r="E12" s="2" t="inlineStr">
        <is>
          <t>Öğretmen ağı + kaynak sayfaları</t>
        </is>
      </c>
      <c r="F12" s="2" t="inlineStr">
        <is>
          <t>LINK-BUILDING dalga 4: Öğretmen Ağı üzerinden sözlük+monolog kaynağı duyurusu. Kayıp neden raporundan çıkan 3 itiraz cevabını reklam arkadaşına ilet (metne o karar verir, dil kurallarına sen bakarsın).</t>
        </is>
      </c>
      <c r="G12" s="2" t="inlineStr">
        <is>
          <t>Kayıp nedenleri özetini hazırla.</t>
        </is>
      </c>
    </row>
    <row r="13">
      <c r="A13" s="2" t="inlineStr"/>
      <c r="B13" s="2" t="inlineStr">
        <is>
          <t>11</t>
        </is>
      </c>
      <c r="C13" s="2" t="inlineStr">
        <is>
          <t>30 Kas-6 Ara</t>
        </is>
      </c>
      <c r="D13" s="2" t="inlineStr">
        <is>
          <t>4 · OCAK DÖNEMİ</t>
        </is>
      </c>
      <c r="E13" s="2" t="inlineStr">
        <is>
          <t>Ocak takvimi tek kaynakta</t>
        </is>
      </c>
      <c r="F13" s="2" t="inlineStr">
        <is>
          <t>Ocak programları, tarihler, tanışma günleri data.ts ve sessions.ts'e (kod, sen). Broşürler yeni kimlikle — üretim arkadaşta.</t>
        </is>
      </c>
      <c r="G13" s="2" t="inlineStr">
        <is>
          <t>Ocak için ön kayıt listesi aç (ADAYLAR, 10-Sonraki dönem).</t>
        </is>
      </c>
    </row>
    <row r="14">
      <c r="A14" s="2" t="inlineStr"/>
      <c r="B14" s="2" t="inlineStr">
        <is>
          <t>12</t>
        </is>
      </c>
      <c r="C14" s="2" t="inlineStr">
        <is>
          <t>7-13 Ara</t>
        </is>
      </c>
      <c r="D14" s="2" t="inlineStr">
        <is>
          <t>4 · OCAK DÖNEMİ</t>
        </is>
      </c>
      <c r="E14" s="2" t="inlineStr">
        <is>
          <t>Geri kazanım</t>
        </is>
      </c>
      <c r="F14" s="2" t="inlineStr">
        <is>
          <t>Sonraki dönem ve kaybedilen adaylara özel mesaj metni sen yazarsın; retargeting reklamının kurulumu arkadaşın işi.</t>
        </is>
      </c>
      <c r="G14" s="2" t="inlineStr">
        <is>
          <t>İletişim izni olan tüm eski adayları tek tek dön, sonucu işle.</t>
        </is>
      </c>
    </row>
    <row r="15">
      <c r="A15" s="2" t="inlineStr"/>
      <c r="B15" s="2" t="inlineStr">
        <is>
          <t>13</t>
        </is>
      </c>
      <c r="C15" s="2" t="inlineStr">
        <is>
          <t>14-20 Ara</t>
        </is>
      </c>
      <c r="D15" s="2" t="inlineStr">
        <is>
          <t>4 · OCAK DÖNEMİ</t>
        </is>
      </c>
      <c r="E15" s="2" t="inlineStr">
        <is>
          <t>Ocak tanışma günleri</t>
        </is>
      </c>
      <c r="F15" s="2" t="inlineStr">
        <is>
          <t>Organik duyuru serisi ve form seansları senin/Melis'in işi; reklam takvimini arkadaşa aktardın.</t>
        </is>
      </c>
      <c r="G15" s="2" t="inlineStr">
        <is>
          <t>Tanışma günü kayıtlarını doldur, teyit akışını çalıştır.</t>
        </is>
      </c>
    </row>
    <row r="16">
      <c r="A16" s="2" t="inlineStr"/>
      <c r="B16" s="2" t="inlineStr">
        <is>
          <t>14</t>
        </is>
      </c>
      <c r="C16" s="2" t="inlineStr">
        <is>
          <t>21-27 Ara</t>
        </is>
      </c>
      <c r="D16" s="2" t="inlineStr">
        <is>
          <t>4 · OCAK DÖNEMİ</t>
        </is>
      </c>
      <c r="E16" s="2" t="inlineStr">
        <is>
          <t>2027 planı</t>
        </is>
      </c>
      <c r="F16" s="2" t="inlineStr">
        <is>
          <t>Yıllık bütçe, program bazında kayıt hedefi, Q1 takvimi. 90 günün dersleri (neler işe yaradı).</t>
        </is>
      </c>
      <c r="G16" s="2" t="inlineStr">
        <is>
          <t>2026 kayıt/tahsilat/kayıp özeti.</t>
        </is>
      </c>
    </row>
  </sheetData>
  <conditionalFormatting sqref="A2:G16">
    <cfRule type="expression" priority="1" dxfId="0">
      <formula>OR($A2=TRUE,$A2="✓")</formula>
    </cfRule>
  </conditionalFormatting>
  <dataValidations count="1">
    <dataValidation sqref="A2:A16"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tabColor rgb="0000897B"/>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1" customWidth="1" min="3" max="3"/>
    <col width="10" customWidth="1" min="4" max="4"/>
    <col width="12" customWidth="1" min="5" max="5"/>
    <col width="12" customWidth="1" min="6" max="6"/>
    <col width="14" customWidth="1" min="7" max="7"/>
    <col width="16" customWidth="1" min="8" max="8"/>
    <col width="14" customWidth="1" min="9" max="9"/>
    <col width="14" customWidth="1" min="10" max="10"/>
    <col width="12" customWidth="1" min="11" max="11"/>
    <col width="40" customWidth="1" min="12" max="12"/>
  </cols>
  <sheetData>
    <row r="1" ht="28" customHeight="1">
      <c r="A1" s="1" t="inlineStr">
        <is>
          <t>Hafta (Pzt)</t>
        </is>
      </c>
      <c r="B1" s="1" t="inlineStr">
        <is>
          <t>Yeni aday (otomatik)</t>
        </is>
      </c>
      <c r="C1" s="1" t="inlineStr">
        <is>
          <t>Arama sayısı</t>
        </is>
      </c>
      <c r="D1" s="1" t="inlineStr">
        <is>
          <t>Ulaşılan</t>
        </is>
      </c>
      <c r="E1" s="1" t="inlineStr">
        <is>
          <t>Tanışmaya gelen</t>
        </is>
      </c>
      <c r="F1" s="1" t="inlineStr">
        <is>
          <t>Kayıt (otomatik)</t>
        </is>
      </c>
      <c r="G1" s="1" t="inlineStr">
        <is>
          <t>Tahsilat ₺ (otomatik)</t>
        </is>
      </c>
      <c r="H1" s="1" t="inlineStr">
        <is>
          <t>Reklam harcaması ₺ (arkadaş bildirir)</t>
        </is>
      </c>
      <c r="I1" s="1" t="inlineStr">
        <is>
          <t>Kayıt başı reklam ₺</t>
        </is>
      </c>
      <c r="J1" s="1" t="inlineStr">
        <is>
          <t>Cevapsız DM (gün sonu)</t>
        </is>
      </c>
      <c r="K1" s="1" t="inlineStr">
        <is>
          <t>Yeni Google yorumu</t>
        </is>
      </c>
      <c r="L1" s="1" t="inlineStr">
        <is>
          <t>Haftanın notu</t>
        </is>
      </c>
    </row>
    <row r="2">
      <c r="A2" s="3" t="n">
        <v>46279</v>
      </c>
      <c r="B2" s="2">
        <f>COUNTIFS(ADAYLAR!$A$2:$A$600,"&gt;="&amp;A2,ADAYLAR!$A$2:$A$600,"&lt;"&amp;A2+7)</f>
        <v/>
      </c>
      <c r="C2" s="2" t="n"/>
      <c r="D2" s="2" t="n"/>
      <c r="E2" s="2" t="n"/>
      <c r="F2" s="2">
        <f>COUNTIFS('KAYIT-TAHSİLAT'!$A$2:$A$301,"&gt;="&amp;A2,'KAYIT-TAHSİLAT'!$A$2:$A$301,"&lt;"&amp;A2+7)</f>
        <v/>
      </c>
      <c r="G2" s="7">
        <f>SUMIFS('KAYIT-TAHSİLAT'!$G$2:$G$301,'KAYIT-TAHSİLAT'!$A$2:$A$301,"&gt;="&amp;A2,'KAYIT-TAHSİLAT'!$A$2:$A$301,"&lt;"&amp;A2+7)</f>
        <v/>
      </c>
      <c r="H2" s="7" t="n"/>
      <c r="I2" s="7">
        <f>IF(OR(H2="",F2=0),"",H2/F2)</f>
        <v/>
      </c>
      <c r="J2" s="2" t="n"/>
      <c r="K2" s="2" t="n"/>
      <c r="L2" s="2" t="n"/>
    </row>
    <row r="3">
      <c r="A3" s="3" t="n">
        <v>46286</v>
      </c>
      <c r="B3" s="2">
        <f>COUNTIFS(ADAYLAR!$A$2:$A$600,"&gt;="&amp;A3,ADAYLAR!$A$2:$A$600,"&lt;"&amp;A3+7)</f>
        <v/>
      </c>
      <c r="C3" s="2" t="n"/>
      <c r="D3" s="2" t="n"/>
      <c r="E3" s="2" t="n"/>
      <c r="F3" s="2">
        <f>COUNTIFS('KAYIT-TAHSİLAT'!$A$2:$A$301,"&gt;="&amp;A3,'KAYIT-TAHSİLAT'!$A$2:$A$301,"&lt;"&amp;A3+7)</f>
        <v/>
      </c>
      <c r="G3" s="7">
        <f>SUMIFS('KAYIT-TAHSİLAT'!$G$2:$G$301,'KAYIT-TAHSİLAT'!$A$2:$A$301,"&gt;="&amp;A3,'KAYIT-TAHSİLAT'!$A$2:$A$301,"&lt;"&amp;A3+7)</f>
        <v/>
      </c>
      <c r="H3" s="7" t="n"/>
      <c r="I3" s="7">
        <f>IF(OR(H3="",F3=0),"",H3/F3)</f>
        <v/>
      </c>
      <c r="J3" s="2" t="n"/>
      <c r="K3" s="2" t="n"/>
      <c r="L3" s="2" t="n"/>
    </row>
    <row r="4">
      <c r="A4" s="3" t="n">
        <v>46293</v>
      </c>
      <c r="B4" s="2">
        <f>COUNTIFS(ADAYLAR!$A$2:$A$600,"&gt;="&amp;A4,ADAYLAR!$A$2:$A$600,"&lt;"&amp;A4+7)</f>
        <v/>
      </c>
      <c r="C4" s="2" t="n"/>
      <c r="D4" s="2" t="n"/>
      <c r="E4" s="2" t="n"/>
      <c r="F4" s="2">
        <f>COUNTIFS('KAYIT-TAHSİLAT'!$A$2:$A$301,"&gt;="&amp;A4,'KAYIT-TAHSİLAT'!$A$2:$A$301,"&lt;"&amp;A4+7)</f>
        <v/>
      </c>
      <c r="G4" s="7">
        <f>SUMIFS('KAYIT-TAHSİLAT'!$G$2:$G$301,'KAYIT-TAHSİLAT'!$A$2:$A$301,"&gt;="&amp;A4,'KAYIT-TAHSİLAT'!$A$2:$A$301,"&lt;"&amp;A4+7)</f>
        <v/>
      </c>
      <c r="H4" s="7" t="n"/>
      <c r="I4" s="7">
        <f>IF(OR(H4="",F4=0),"",H4/F4)</f>
        <v/>
      </c>
      <c r="J4" s="2" t="n"/>
      <c r="K4" s="2" t="n"/>
      <c r="L4" s="2" t="n"/>
    </row>
    <row r="5">
      <c r="A5" s="3" t="n">
        <v>46300</v>
      </c>
      <c r="B5" s="2">
        <f>COUNTIFS(ADAYLAR!$A$2:$A$600,"&gt;="&amp;A5,ADAYLAR!$A$2:$A$600,"&lt;"&amp;A5+7)</f>
        <v/>
      </c>
      <c r="C5" s="2" t="n"/>
      <c r="D5" s="2" t="n"/>
      <c r="E5" s="2" t="n"/>
      <c r="F5" s="2">
        <f>COUNTIFS('KAYIT-TAHSİLAT'!$A$2:$A$301,"&gt;="&amp;A5,'KAYIT-TAHSİLAT'!$A$2:$A$301,"&lt;"&amp;A5+7)</f>
        <v/>
      </c>
      <c r="G5" s="7">
        <f>SUMIFS('KAYIT-TAHSİLAT'!$G$2:$G$301,'KAYIT-TAHSİLAT'!$A$2:$A$301,"&gt;="&amp;A5,'KAYIT-TAHSİLAT'!$A$2:$A$301,"&lt;"&amp;A5+7)</f>
        <v/>
      </c>
      <c r="H5" s="7" t="n"/>
      <c r="I5" s="7">
        <f>IF(OR(H5="",F5=0),"",H5/F5)</f>
        <v/>
      </c>
      <c r="J5" s="2" t="n"/>
      <c r="K5" s="2" t="n"/>
      <c r="L5" s="2" t="n"/>
    </row>
    <row r="6">
      <c r="A6" s="3" t="n">
        <v>46307</v>
      </c>
      <c r="B6" s="2">
        <f>COUNTIFS(ADAYLAR!$A$2:$A$600,"&gt;="&amp;A6,ADAYLAR!$A$2:$A$600,"&lt;"&amp;A6+7)</f>
        <v/>
      </c>
      <c r="C6" s="2" t="n"/>
      <c r="D6" s="2" t="n"/>
      <c r="E6" s="2" t="n"/>
      <c r="F6" s="2">
        <f>COUNTIFS('KAYIT-TAHSİLAT'!$A$2:$A$301,"&gt;="&amp;A6,'KAYIT-TAHSİLAT'!$A$2:$A$301,"&lt;"&amp;A6+7)</f>
        <v/>
      </c>
      <c r="G6" s="7">
        <f>SUMIFS('KAYIT-TAHSİLAT'!$G$2:$G$301,'KAYIT-TAHSİLAT'!$A$2:$A$301,"&gt;="&amp;A6,'KAYIT-TAHSİLAT'!$A$2:$A$301,"&lt;"&amp;A6+7)</f>
        <v/>
      </c>
      <c r="H6" s="7" t="n"/>
      <c r="I6" s="7">
        <f>IF(OR(H6="",F6=0),"",H6/F6)</f>
        <v/>
      </c>
      <c r="J6" s="2" t="n"/>
      <c r="K6" s="2" t="n"/>
      <c r="L6" s="2" t="n"/>
    </row>
    <row r="7">
      <c r="A7" s="3" t="n">
        <v>46314</v>
      </c>
      <c r="B7" s="2">
        <f>COUNTIFS(ADAYLAR!$A$2:$A$600,"&gt;="&amp;A7,ADAYLAR!$A$2:$A$600,"&lt;"&amp;A7+7)</f>
        <v/>
      </c>
      <c r="C7" s="2" t="n"/>
      <c r="D7" s="2" t="n"/>
      <c r="E7" s="2" t="n"/>
      <c r="F7" s="2">
        <f>COUNTIFS('KAYIT-TAHSİLAT'!$A$2:$A$301,"&gt;="&amp;A7,'KAYIT-TAHSİLAT'!$A$2:$A$301,"&lt;"&amp;A7+7)</f>
        <v/>
      </c>
      <c r="G7" s="7">
        <f>SUMIFS('KAYIT-TAHSİLAT'!$G$2:$G$301,'KAYIT-TAHSİLAT'!$A$2:$A$301,"&gt;="&amp;A7,'KAYIT-TAHSİLAT'!$A$2:$A$301,"&lt;"&amp;A7+7)</f>
        <v/>
      </c>
      <c r="H7" s="7" t="n"/>
      <c r="I7" s="7">
        <f>IF(OR(H7="",F7=0),"",H7/F7)</f>
        <v/>
      </c>
      <c r="J7" s="2" t="n"/>
      <c r="K7" s="2" t="n"/>
      <c r="L7" s="2" t="n"/>
    </row>
    <row r="8">
      <c r="A8" s="3" t="n">
        <v>46321</v>
      </c>
      <c r="B8" s="2">
        <f>COUNTIFS(ADAYLAR!$A$2:$A$600,"&gt;="&amp;A8,ADAYLAR!$A$2:$A$600,"&lt;"&amp;A8+7)</f>
        <v/>
      </c>
      <c r="C8" s="2" t="n"/>
      <c r="D8" s="2" t="n"/>
      <c r="E8" s="2" t="n"/>
      <c r="F8" s="2">
        <f>COUNTIFS('KAYIT-TAHSİLAT'!$A$2:$A$301,"&gt;="&amp;A8,'KAYIT-TAHSİLAT'!$A$2:$A$301,"&lt;"&amp;A8+7)</f>
        <v/>
      </c>
      <c r="G8" s="7">
        <f>SUMIFS('KAYIT-TAHSİLAT'!$G$2:$G$301,'KAYIT-TAHSİLAT'!$A$2:$A$301,"&gt;="&amp;A8,'KAYIT-TAHSİLAT'!$A$2:$A$301,"&lt;"&amp;A8+7)</f>
        <v/>
      </c>
      <c r="H8" s="7" t="n"/>
      <c r="I8" s="7">
        <f>IF(OR(H8="",F8=0),"",H8/F8)</f>
        <v/>
      </c>
      <c r="J8" s="2" t="n"/>
      <c r="K8" s="2" t="n"/>
      <c r="L8" s="2" t="n"/>
    </row>
    <row r="9">
      <c r="A9" s="3" t="n">
        <v>46328</v>
      </c>
      <c r="B9" s="2">
        <f>COUNTIFS(ADAYLAR!$A$2:$A$600,"&gt;="&amp;A9,ADAYLAR!$A$2:$A$600,"&lt;"&amp;A9+7)</f>
        <v/>
      </c>
      <c r="C9" s="2" t="n"/>
      <c r="D9" s="2" t="n"/>
      <c r="E9" s="2" t="n"/>
      <c r="F9" s="2">
        <f>COUNTIFS('KAYIT-TAHSİLAT'!$A$2:$A$301,"&gt;="&amp;A9,'KAYIT-TAHSİLAT'!$A$2:$A$301,"&lt;"&amp;A9+7)</f>
        <v/>
      </c>
      <c r="G9" s="7">
        <f>SUMIFS('KAYIT-TAHSİLAT'!$G$2:$G$301,'KAYIT-TAHSİLAT'!$A$2:$A$301,"&gt;="&amp;A9,'KAYIT-TAHSİLAT'!$A$2:$A$301,"&lt;"&amp;A9+7)</f>
        <v/>
      </c>
      <c r="H9" s="7" t="n"/>
      <c r="I9" s="7">
        <f>IF(OR(H9="",F9=0),"",H9/F9)</f>
        <v/>
      </c>
      <c r="J9" s="2" t="n"/>
      <c r="K9" s="2" t="n"/>
      <c r="L9" s="2" t="n"/>
    </row>
    <row r="10">
      <c r="A10" s="3" t="n">
        <v>46335</v>
      </c>
      <c r="B10" s="2">
        <f>COUNTIFS(ADAYLAR!$A$2:$A$600,"&gt;="&amp;A10,ADAYLAR!$A$2:$A$600,"&lt;"&amp;A10+7)</f>
        <v/>
      </c>
      <c r="C10" s="2" t="n"/>
      <c r="D10" s="2" t="n"/>
      <c r="E10" s="2" t="n"/>
      <c r="F10" s="2">
        <f>COUNTIFS('KAYIT-TAHSİLAT'!$A$2:$A$301,"&gt;="&amp;A10,'KAYIT-TAHSİLAT'!$A$2:$A$301,"&lt;"&amp;A10+7)</f>
        <v/>
      </c>
      <c r="G10" s="7">
        <f>SUMIFS('KAYIT-TAHSİLAT'!$G$2:$G$301,'KAYIT-TAHSİLAT'!$A$2:$A$301,"&gt;="&amp;A10,'KAYIT-TAHSİLAT'!$A$2:$A$301,"&lt;"&amp;A10+7)</f>
        <v/>
      </c>
      <c r="H10" s="7" t="n"/>
      <c r="I10" s="7">
        <f>IF(OR(H10="",F10=0),"",H10/F10)</f>
        <v/>
      </c>
      <c r="J10" s="2" t="n"/>
      <c r="K10" s="2" t="n"/>
      <c r="L10" s="2" t="n"/>
    </row>
    <row r="11">
      <c r="A11" s="3" t="n">
        <v>46342</v>
      </c>
      <c r="B11" s="2">
        <f>COUNTIFS(ADAYLAR!$A$2:$A$600,"&gt;="&amp;A11,ADAYLAR!$A$2:$A$600,"&lt;"&amp;A11+7)</f>
        <v/>
      </c>
      <c r="C11" s="2" t="n"/>
      <c r="D11" s="2" t="n"/>
      <c r="E11" s="2" t="n"/>
      <c r="F11" s="2">
        <f>COUNTIFS('KAYIT-TAHSİLAT'!$A$2:$A$301,"&gt;="&amp;A11,'KAYIT-TAHSİLAT'!$A$2:$A$301,"&lt;"&amp;A11+7)</f>
        <v/>
      </c>
      <c r="G11" s="7">
        <f>SUMIFS('KAYIT-TAHSİLAT'!$G$2:$G$301,'KAYIT-TAHSİLAT'!$A$2:$A$301,"&gt;="&amp;A11,'KAYIT-TAHSİLAT'!$A$2:$A$301,"&lt;"&amp;A11+7)</f>
        <v/>
      </c>
      <c r="H11" s="7" t="n"/>
      <c r="I11" s="7">
        <f>IF(OR(H11="",F11=0),"",H11/F11)</f>
        <v/>
      </c>
      <c r="J11" s="2" t="n"/>
      <c r="K11" s="2" t="n"/>
      <c r="L11" s="2" t="n"/>
    </row>
    <row r="12">
      <c r="A12" s="3" t="n">
        <v>46349</v>
      </c>
      <c r="B12" s="2">
        <f>COUNTIFS(ADAYLAR!$A$2:$A$600,"&gt;="&amp;A12,ADAYLAR!$A$2:$A$600,"&lt;"&amp;A12+7)</f>
        <v/>
      </c>
      <c r="C12" s="2" t="n"/>
      <c r="D12" s="2" t="n"/>
      <c r="E12" s="2" t="n"/>
      <c r="F12" s="2">
        <f>COUNTIFS('KAYIT-TAHSİLAT'!$A$2:$A$301,"&gt;="&amp;A12,'KAYIT-TAHSİLAT'!$A$2:$A$301,"&lt;"&amp;A12+7)</f>
        <v/>
      </c>
      <c r="G12" s="7">
        <f>SUMIFS('KAYIT-TAHSİLAT'!$G$2:$G$301,'KAYIT-TAHSİLAT'!$A$2:$A$301,"&gt;="&amp;A12,'KAYIT-TAHSİLAT'!$A$2:$A$301,"&lt;"&amp;A12+7)</f>
        <v/>
      </c>
      <c r="H12" s="7" t="n"/>
      <c r="I12" s="7">
        <f>IF(OR(H12="",F12=0),"",H12/F12)</f>
        <v/>
      </c>
      <c r="J12" s="2" t="n"/>
      <c r="K12" s="2" t="n"/>
      <c r="L12" s="2" t="n"/>
    </row>
    <row r="13">
      <c r="A13" s="3" t="n">
        <v>46356</v>
      </c>
      <c r="B13" s="2">
        <f>COUNTIFS(ADAYLAR!$A$2:$A$600,"&gt;="&amp;A13,ADAYLAR!$A$2:$A$600,"&lt;"&amp;A13+7)</f>
        <v/>
      </c>
      <c r="C13" s="2" t="n"/>
      <c r="D13" s="2" t="n"/>
      <c r="E13" s="2" t="n"/>
      <c r="F13" s="2">
        <f>COUNTIFS('KAYIT-TAHSİLAT'!$A$2:$A$301,"&gt;="&amp;A13,'KAYIT-TAHSİLAT'!$A$2:$A$301,"&lt;"&amp;A13+7)</f>
        <v/>
      </c>
      <c r="G13" s="7">
        <f>SUMIFS('KAYIT-TAHSİLAT'!$G$2:$G$301,'KAYIT-TAHSİLAT'!$A$2:$A$301,"&gt;="&amp;A13,'KAYIT-TAHSİLAT'!$A$2:$A$301,"&lt;"&amp;A13+7)</f>
        <v/>
      </c>
      <c r="H13" s="7" t="n"/>
      <c r="I13" s="7">
        <f>IF(OR(H13="",F13=0),"",H13/F13)</f>
        <v/>
      </c>
      <c r="J13" s="2" t="n"/>
      <c r="K13" s="2" t="n"/>
      <c r="L13" s="2" t="n"/>
    </row>
    <row r="14">
      <c r="A14" s="3" t="n">
        <v>46363</v>
      </c>
      <c r="B14" s="2">
        <f>COUNTIFS(ADAYLAR!$A$2:$A$600,"&gt;="&amp;A14,ADAYLAR!$A$2:$A$600,"&lt;"&amp;A14+7)</f>
        <v/>
      </c>
      <c r="C14" s="2" t="n"/>
      <c r="D14" s="2" t="n"/>
      <c r="E14" s="2" t="n"/>
      <c r="F14" s="2">
        <f>COUNTIFS('KAYIT-TAHSİLAT'!$A$2:$A$301,"&gt;="&amp;A14,'KAYIT-TAHSİLAT'!$A$2:$A$301,"&lt;"&amp;A14+7)</f>
        <v/>
      </c>
      <c r="G14" s="7">
        <f>SUMIFS('KAYIT-TAHSİLAT'!$G$2:$G$301,'KAYIT-TAHSİLAT'!$A$2:$A$301,"&gt;="&amp;A14,'KAYIT-TAHSİLAT'!$A$2:$A$301,"&lt;"&amp;A14+7)</f>
        <v/>
      </c>
      <c r="H14" s="7" t="n"/>
      <c r="I14" s="7">
        <f>IF(OR(H14="",F14=0),"",H14/F14)</f>
        <v/>
      </c>
      <c r="J14" s="2" t="n"/>
      <c r="K14" s="2" t="n"/>
      <c r="L14" s="2" t="n"/>
    </row>
    <row r="15">
      <c r="A15" s="3" t="n">
        <v>46370</v>
      </c>
      <c r="B15" s="2">
        <f>COUNTIFS(ADAYLAR!$A$2:$A$600,"&gt;="&amp;A15,ADAYLAR!$A$2:$A$600,"&lt;"&amp;A15+7)</f>
        <v/>
      </c>
      <c r="C15" s="2" t="n"/>
      <c r="D15" s="2" t="n"/>
      <c r="E15" s="2" t="n"/>
      <c r="F15" s="2">
        <f>COUNTIFS('KAYIT-TAHSİLAT'!$A$2:$A$301,"&gt;="&amp;A15,'KAYIT-TAHSİLAT'!$A$2:$A$301,"&lt;"&amp;A15+7)</f>
        <v/>
      </c>
      <c r="G15" s="7">
        <f>SUMIFS('KAYIT-TAHSİLAT'!$G$2:$G$301,'KAYIT-TAHSİLAT'!$A$2:$A$301,"&gt;="&amp;A15,'KAYIT-TAHSİLAT'!$A$2:$A$301,"&lt;"&amp;A15+7)</f>
        <v/>
      </c>
      <c r="H15" s="7" t="n"/>
      <c r="I15" s="7">
        <f>IF(OR(H15="",F15=0),"",H15/F15)</f>
        <v/>
      </c>
      <c r="J15" s="2" t="n"/>
      <c r="K15" s="2" t="n"/>
      <c r="L15" s="2" t="n"/>
    </row>
    <row r="16">
      <c r="A16" s="3" t="n">
        <v>46377</v>
      </c>
      <c r="B16" s="2">
        <f>COUNTIFS(ADAYLAR!$A$2:$A$600,"&gt;="&amp;A16,ADAYLAR!$A$2:$A$600,"&lt;"&amp;A16+7)</f>
        <v/>
      </c>
      <c r="C16" s="2" t="n"/>
      <c r="D16" s="2" t="n"/>
      <c r="E16" s="2" t="n"/>
      <c r="F16" s="2">
        <f>COUNTIFS('KAYIT-TAHSİLAT'!$A$2:$A$301,"&gt;="&amp;A16,'KAYIT-TAHSİLAT'!$A$2:$A$301,"&lt;"&amp;A16+7)</f>
        <v/>
      </c>
      <c r="G16" s="7">
        <f>SUMIFS('KAYIT-TAHSİLAT'!$G$2:$G$301,'KAYIT-TAHSİLAT'!$A$2:$A$301,"&gt;="&amp;A16,'KAYIT-TAHSİLAT'!$A$2:$A$301,"&lt;"&amp;A16+7)</f>
        <v/>
      </c>
      <c r="H16" s="7" t="n"/>
      <c r="I16" s="7">
        <f>IF(OR(H16="",F16=0),"",H16/F16)</f>
        <v/>
      </c>
      <c r="J16" s="2" t="n"/>
      <c r="K16" s="2" t="n"/>
      <c r="L16" s="2" t="n"/>
    </row>
    <row r="17">
      <c r="A17" s="3" t="n">
        <v>46384</v>
      </c>
      <c r="B17" s="2">
        <f>COUNTIFS(ADAYLAR!$A$2:$A$600,"&gt;="&amp;A17,ADAYLAR!$A$2:$A$600,"&lt;"&amp;A17+7)</f>
        <v/>
      </c>
      <c r="C17" s="2" t="n"/>
      <c r="D17" s="2" t="n"/>
      <c r="E17" s="2" t="n"/>
      <c r="F17" s="2">
        <f>COUNTIFS('KAYIT-TAHSİLAT'!$A$2:$A$301,"&gt;="&amp;A17,'KAYIT-TAHSİLAT'!$A$2:$A$301,"&lt;"&amp;A17+7)</f>
        <v/>
      </c>
      <c r="G17" s="7">
        <f>SUMIFS('KAYIT-TAHSİLAT'!$G$2:$G$301,'KAYIT-TAHSİLAT'!$A$2:$A$301,"&gt;="&amp;A17,'KAYIT-TAHSİLAT'!$A$2:$A$301,"&lt;"&amp;A17+7)</f>
        <v/>
      </c>
      <c r="H17" s="7" t="n"/>
      <c r="I17" s="7">
        <f>IF(OR(H17="",F17=0),"",H17/F17)</f>
        <v/>
      </c>
      <c r="J17" s="2" t="n"/>
      <c r="K17" s="2" t="n"/>
      <c r="L17" s="2" t="n"/>
    </row>
  </sheetData>
  <pageMargins left="0.75" right="0.75" top="1" bottom="1" header="0.5" footer="0.5"/>
</worksheet>
</file>

<file path=xl/worksheets/sheet10.xml><?xml version="1.0" encoding="utf-8"?>
<worksheet xmlns="http://schemas.openxmlformats.org/spreadsheetml/2006/main">
  <sheetPr>
    <tabColor rgb="00FDD835"/>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0" customWidth="1" min="1" max="1"/>
    <col width="130" customWidth="1" min="2" max="2"/>
  </cols>
  <sheetData>
    <row r="1" ht="28" customHeight="1">
      <c r="A1" s="1" t="inlineStr">
        <is>
          <t>Adım</t>
        </is>
      </c>
      <c r="B1" s="1" t="inlineStr">
        <is>
          <t>Ne söylenir / ne yapılır</t>
        </is>
      </c>
    </row>
    <row r="2">
      <c r="A2" s="2" t="inlineStr">
        <is>
          <t>Hazırlık (30 sn)</t>
        </is>
      </c>
      <c r="B2" s="2" t="inlineStr">
        <is>
          <t>Aramadan önce satırı oku: program, tanışma seansı, deneyim ve beklenti. Beklentisindeki bir kelimeyi konuşmada kullan.</t>
        </is>
      </c>
    </row>
    <row r="3">
      <c r="A3" s="2" t="inlineStr">
        <is>
          <t>1 · Açılış</t>
        </is>
      </c>
      <c r="B3" s="2" t="inlineStr">
        <is>
          <t>"Merhaba [Ad] Hanım/Bey, ben Melis, Techne Lab İstanbul'dan arıyorum. [Program] tanışma günü için formunuz bize ulaştı, teşekkür ederiz. Konuşmak için iki dakikanız var mı?"  Yoksa: "Ne zaman aramam uygun olur?" Saati NOT'a yaz, Sonraki adım tarihini değiştir.</t>
        </is>
      </c>
    </row>
    <row r="4">
      <c r="A4" s="2" t="inlineStr">
        <is>
          <t>2 · Dinle (en önemli kısım)</t>
        </is>
      </c>
      <c r="B4" s="2" t="inlineStr">
        <is>
          <t>"Formda [beklenti] yazmışsınız. Biraz anlatır mısınız, sizi şu an bu programa yönelten ne oldu?"  Sonra: "Daha önce sahneyle, dansla ya da müzikle bir deneyiminiz oldu mu?"  "Haftanın hangi gün ve saatleri size uygun?"  Konuşmanın çoğunu o yapsın. Duyduğun gerçek nedeni NOT'a tek cümleyle yaz.</t>
        </is>
      </c>
    </row>
    <row r="5">
      <c r="A5" s="2" t="inlineStr">
        <is>
          <t>3 · Programı onun diliyle anlat</t>
        </is>
      </c>
      <c r="B5" s="2" t="inlineStr">
        <is>
          <t>Dinlediğin nedene bağla, en fazla 3 cümle. Örnek: "Tam da bu yüzden programda [ilgili blok] var. Küçük bir grupla çalışıyorsunuz ve süreç seyircili bir final performansıyla bitiyor."  Program bilgisi için PROGRAM ÖZETLERİ bölümüne bak. Emin olmadığın bir şeyi uydurma: "Bunu netleştirip bugün size yazıyorum."</t>
        </is>
      </c>
    </row>
    <row r="6">
      <c r="A6" s="2" t="inlineStr">
        <is>
          <t>4 · Tanışma gününe bağla</t>
        </is>
      </c>
      <c r="B6" s="2" t="inlineStr">
        <is>
          <t>"Tanışma günümüz [tarih, saat, mekân]. Ücretsiz, bir saat sürüyor; hem eğitmenle hem grupla tanışıyorsunuz, karar vermeden önce görmüş oluyorsunuz. Sizi listeye kesin olarak yazıyorum, uygun mu?"  Evet: DURUM 4-Tanışmaya gelecek. Konum ve saat mesajını hemen at.</t>
        </is>
      </c>
    </row>
    <row r="7">
      <c r="A7" s="2" t="inlineStr">
        <is>
          <t>5 · Fiyat sorulursa</t>
        </is>
      </c>
      <c r="B7" s="2" t="inlineStr">
        <is>
          <t>Kaçma, net söyle: "[Program] için dönem ücreti [güncel fiyat listesindeki rakam]. Peşin ve taksitli seçeneklerimiz var."  Ardından hemen değere dön: "Tanışma gününde programın nasıl işlediğini görünce karar vermek çok daha kolay oluyor."  İndirim/burs talebi: "Sizin için soruyorum, bugün dönüyorum." NOT'a yaz, Yağız'a ilet.</t>
        </is>
      </c>
    </row>
    <row r="8">
      <c r="A8" s="2" t="inlineStr">
        <is>
          <t>İtiraz: "Pahalı"</t>
        </is>
      </c>
      <c r="B8" s="2" t="inlineStr">
        <is>
          <t>"Anlıyorum. Neyle karşılaştırdığınızı sorabilir miyim?"  Dinle. Sonra farkı somut söyle: küçük grup, sahnede ve sette çalışan eğitmen kadrosu, final performansı. Taksit seçeneğini hatırlat. Hâlâ zor diyorsa: "Tanışma gününe yine de gelin, karar vermek zorunda değilsiniz."</t>
        </is>
      </c>
    </row>
    <row r="9">
      <c r="A9" s="2" t="inlineStr">
        <is>
          <t>İtiraz: "Zamanım yok"</t>
        </is>
      </c>
      <c r="B9" s="2" t="inlineStr">
        <is>
          <t>"Haftanın hangi günü en rahatınız?"  Kadıköy ve Pera seçeneklerini, modüler/kısa paketleri (varsa) söyle. Gerçekten uymuyorsa DURUM 10-Sonraki dönem, NOT'a uygun gün/saat.</t>
        </is>
      </c>
    </row>
    <row r="10">
      <c r="A10" s="2" t="inlineStr">
        <is>
          <t>İtiraz: "Düşüneyim"</t>
        </is>
      </c>
      <c r="B10" s="2" t="inlineStr">
        <is>
          <t>"Tabii. Kararınızı en çok ne etkiliyor: zaman mı, bütçe mi, programın size uyup uymadığı mı?"  Gerçek engel çıkınca onu konuş. Kapanış: "[gün] size tekrar ulaşayım mı?" Tarihi Sonraki adım tarihine yaz.</t>
        </is>
      </c>
    </row>
    <row r="11">
      <c r="A11" s="2" t="inlineStr">
        <is>
          <t>İtiraz: "İngilizcem yetmez" (EDL, Praxis, Youth)</t>
        </is>
      </c>
      <c r="B11" s="2" t="inlineStr">
        <is>
          <t>"Sohbet edebiliyorsanız yeterli, B1 civarı öneriyoruz. Akıcı olmanız gerekmiyor; programın amacı zaten dili sahnede kullanarak güven kazanmak."  Emin değilse tanışma gününe davet et, orada görür.</t>
        </is>
      </c>
    </row>
    <row r="12">
      <c r="A12" s="2" t="inlineStr">
        <is>
          <t>İtiraz: "Hiç deneyimim yok"</t>
        </is>
      </c>
      <c r="B12" s="2" t="inlineStr">
        <is>
          <t>"Deneyim şartı yok, gruplarımızın önemli bir kısmı ilk kez başlıyor. Herkes kendi noktasından başlıyor."</t>
        </is>
      </c>
    </row>
    <row r="13">
      <c r="A13" s="2" t="inlineStr">
        <is>
          <t>Youth (veli ile konuşma)</t>
        </is>
      </c>
      <c r="B13" s="2" t="inlineStr">
        <is>
          <t>Veliyle 'siz' dili, çocuğun adını kullan. Önce çocuğu sor: "[Çocuk] nasıl bir çocuk, kendini ifade etmekte nasıl?"  Sonra güven: yaş grupları ayrı (10-14 ve 15-17), sınav ve not yok, yıl sonu seyircili gösteri. Veli karar vermeden önce çocuğun tanışma gününe gelmesini öner.</t>
        </is>
      </c>
    </row>
    <row r="14">
      <c r="A14" s="2" t="inlineStr">
        <is>
          <t>6 · Kapanış (her aramada)</t>
        </is>
      </c>
      <c r="B14" s="2" t="inlineStr">
        <is>
          <t>Konuşma ne olursa olsun net bir sonraki adımla bitsin: tarih + ne olacak. "O zaman [gün] [saat] görüşüyoruz / tanışma gününde görüşüyoruz / dosyayı şimdi gönderiyorum."  Kapattıktan sonra 1 dakika içinde DURUM + NOT.</t>
        </is>
      </c>
    </row>
    <row r="15">
      <c r="A15" s="2" t="inlineStr">
        <is>
          <t>Ulaşılamazsa</t>
        </is>
      </c>
      <c r="B15" s="2" t="inlineStr">
        <is>
          <t>Hemen WhatsApp 'ulaşılamadı' mesajı, DURUM 2-Ulaşılamadı. Kural: 1. gün ara + mesaj, 2. gün farklı saatte ara, 4. gün son mesaj. 3 denemeden sonra 10-Sonraki dönem.</t>
        </is>
      </c>
    </row>
    <row r="16">
      <c r="A16" s="2" t="inlineStr"/>
      <c r="B16" s="2" t="inlineStr"/>
    </row>
    <row r="17">
      <c r="A17" s="2" t="inlineStr">
        <is>
          <t>PROGRAM ÖZETLERİ</t>
        </is>
      </c>
      <c r="B17" s="2" t="inlineStr">
        <is>
          <t>(30 saniyelik anlatım. Tarih, fiyat ve paket için her zaman güncel listeye bak.)</t>
        </is>
      </c>
    </row>
    <row r="18">
      <c r="A18" s="2" t="inlineStr">
        <is>
          <t>Techne Musical Lab</t>
        </is>
      </c>
      <c r="B18" s="2" t="inlineStr">
        <is>
          <t>Drama, tiyatro ve müzikal: oyunculuk, şan ve dans bir arada. 8 ay, haftada 2 gün, Kadıköy. Yıl seyirci karşısında bir müzikalle biter. Dosya: https://drive.google.com/file/d/1U50u26XWmF6plJogC9gTR-KgmJZr-vv4/view</t>
        </is>
      </c>
    </row>
    <row r="19">
      <c r="A19" s="2" t="inlineStr">
        <is>
          <t>Broadway Musical Dance</t>
        </is>
      </c>
      <c r="B19" s="2" t="inlineStr">
        <is>
          <t>Jazz, theatre dance ve koreografi. Broadway müzikallerinin dans dili. Kadıköy ve Taksim, 12 ya da 6 haftalık paketler. Dosya: https://drive.google.com/file/d/1Rh-dLGGSFFLWWVdPhq8d0Qjy3nrGaP3r/view</t>
        </is>
      </c>
    </row>
    <row r="20">
      <c r="A20" s="2" t="inlineStr">
        <is>
          <t>English Drama Lab</t>
        </is>
      </c>
      <c r="B20" s="2" t="inlineStr">
        <is>
          <t>Yetişkinler için İngilizce drama. Dil öğretmiyoruz, dili deneyimliyoruz: sahnede bir durumun içinde İngilizce konuşarak güven. Pera ve Kadıköy, 12, 8 ya da 4 haftalık paketler. Dosya: https://drive.google.com/file/d/1aCsIJaafreWqRjKdgS8G3aeUaZYbXThf/view</t>
        </is>
      </c>
    </row>
    <row r="21">
      <c r="A21" s="2" t="inlineStr">
        <is>
          <t>English Acting Praxis</t>
        </is>
      </c>
      <c r="B21" s="2" t="inlineStr">
        <is>
          <t>Oyunculuğunu İngilizce ve uluslararası arenaya taşımak isteyenler için ileri seviye program. Pera, 12 hafta. Dosya: https://drive.google.com/file/d/1f4LeYzbz_R1EjVmn33Dbphfx-PCOGzpK/view</t>
        </is>
      </c>
    </row>
    <row r="22">
      <c r="A22" s="2" t="inlineStr">
        <is>
          <t>English Drama Youth (10-17)</t>
        </is>
      </c>
      <c r="B22" s="2" t="inlineStr">
        <is>
          <t>Çocuk ve gençler için İngilizce drama. Kitap, sınav ve not yok; sahnede dili yaşamak var. 10-14 ve 15-17 ayrı gruplar, Ekim-Mayıs haftada 1 gün, yıl sonu gösterisi. Dosya: https://drive.google.com/file/d/1CB4JCDMPTX0AmvRrdq0E0dp9NJb5ot5c/view</t>
        </is>
      </c>
    </row>
    <row r="23">
      <c r="A23" s="2" t="inlineStr">
        <is>
          <t>The Auteur Lab</t>
        </is>
      </c>
      <c r="B23" s="2" t="inlineStr">
        <is>
          <t>Yaratıcı yazarlık ve dramaturji. Antikten moderne, çağdaş yazına ve kendi sesine uzanan modüller, modül başına 8 hafta, Kadıköy. Dosya: https://drive.google.com/file/d/1fKsnsALvlX4HNM-9o39C-VBXj_vXc-FN/view</t>
        </is>
      </c>
    </row>
  </sheetData>
  <pageMargins left="0.75" right="0.75" top="1" bottom="1" header="0.5" footer="0.5"/>
</worksheet>
</file>

<file path=xl/worksheets/sheet11.xml><?xml version="1.0" encoding="utf-8"?>
<worksheet xmlns="http://schemas.openxmlformats.org/spreadsheetml/2006/main">
  <sheetPr>
    <tabColor rgb="00FDD835"/>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10" customWidth="1" min="3" max="3"/>
  </cols>
  <sheetData>
    <row r="1" ht="28" customHeight="1">
      <c r="A1" s="1" t="inlineStr">
        <is>
          <t>Durum</t>
        </is>
      </c>
      <c r="B1" s="1" t="inlineStr">
        <is>
          <t>Kanal</t>
        </is>
      </c>
      <c r="C1" s="1" t="inlineStr">
        <is>
          <t>Metin (köşeli parantezleri doldur)</t>
        </is>
      </c>
    </row>
    <row r="2">
      <c r="A2" s="2" t="inlineStr">
        <is>
          <t>Ulaşılamadı (aramadan hemen sonra)</t>
        </is>
      </c>
      <c r="B2" s="2" t="inlineStr">
        <is>
          <t>WhatsApp</t>
        </is>
      </c>
      <c r="C2" s="2" t="inlineStr">
        <is>
          <t>Merhaba [Ad], ben Melis, Techne Lab İstanbul'dan. [Program] tanışma günü başvurunuz için aradım, ulaşamadım. Size uygun bir saat yazarsanız o saatte arayayım. Program dosyası da burada: [dosya linki]</t>
        </is>
      </c>
    </row>
    <row r="3">
      <c r="A3" s="2" t="inlineStr">
        <is>
          <t>Son deneme (4. gün)</t>
        </is>
      </c>
      <c r="B3" s="2" t="inlineStr">
        <is>
          <t>WhatsApp</t>
        </is>
      </c>
      <c r="C3" s="2" t="inlineStr">
        <is>
          <t>Merhaba [Ad], size birkaç kez ulaşmaya çalıştık, rahatsız etmek istemeyiz. [Program] ile ilgilenmeye devam ederseniz bu mesaja bir 'evet' yazmanız yeterli, hemen dönüyoruz. Bir sonraki dönem için de haber verebiliriz.</t>
        </is>
      </c>
    </row>
    <row r="4">
      <c r="A4" s="2" t="inlineStr">
        <is>
          <t>Tanışma günü teyidi (kayıt anında)</t>
        </is>
      </c>
      <c r="B4" s="2" t="inlineStr">
        <is>
          <t>WhatsApp</t>
        </is>
      </c>
      <c r="C4" s="2" t="inlineStr">
        <is>
          <t>Harika [Ad], sizi [Program] tanışma gününe yazdım.
📍 [Mekân ve adres]
🗓 [Gün, tarih] · [saat]
Rahat kıyafet yeterli. Görüşmek üzere!</t>
        </is>
      </c>
    </row>
    <row r="5">
      <c r="A5" s="2" t="inlineStr">
        <is>
          <t>Tanışma hatırlatma (1 gün önce)</t>
        </is>
      </c>
      <c r="B5" s="2" t="inlineStr">
        <is>
          <t>WhatsApp</t>
        </is>
      </c>
      <c r="C5" s="2" t="inlineStr">
        <is>
          <t>Merhaba [Ad], yarın [saat]'te [mekân]'da [Program] tanışma gününde görüşüyoruz. Konum: [harita linki]. Gelemeyecekseniz yazmanız yeterli, başka bir tarih ayarlarız.</t>
        </is>
      </c>
    </row>
    <row r="6">
      <c r="A6" s="2" t="inlineStr">
        <is>
          <t>Tanışma sonrası (aynı akşam)</t>
        </is>
      </c>
      <c r="B6" s="2" t="inlineStr">
        <is>
          <t>WhatsApp</t>
        </is>
      </c>
      <c r="C6" s="2" t="inlineStr">
        <is>
          <t>Bugün geldiğiniz için çok teşekkürler [Ad]. Grupla çalışırken nasıl hissettiğinizi merak ediyoruz. Aklınızdaki soruları yazabilirsiniz; yarın kısa bir görüşmeyle kayıt detaylarını konuşabiliriz. Size hangi saat uygun?</t>
        </is>
      </c>
    </row>
    <row r="7">
      <c r="A7" s="2" t="inlineStr">
        <is>
          <t>Gelmedi</t>
        </is>
      </c>
      <c r="B7" s="2" t="inlineStr">
        <is>
          <t>WhatsApp</t>
        </is>
      </c>
      <c r="C7" s="2" t="inlineStr">
        <is>
          <t>Merhaba [Ad], bugün tanışma gününde sizi göremedik, umarız her şey yolundadır. İsterseniz bir sonraki tanışma gününe ya da kısa bir telefon görüşmesine yer ayırayım.</t>
        </is>
      </c>
    </row>
    <row r="8">
      <c r="A8" s="2" t="inlineStr">
        <is>
          <t>Ödeme hatırlatma</t>
        </is>
      </c>
      <c r="B8" s="2" t="inlineStr">
        <is>
          <t>WhatsApp</t>
        </is>
      </c>
      <c r="C8" s="2" t="inlineStr">
        <is>
          <t>Merhaba [Ad], [Program] için yerinizi ayırdık. Kaydı tamamlamak için ödeme bağlantısı: [link]. İlk seans [tarih]. Taksit ya da havale tercih ederseniz yazmanız yeterli.</t>
        </is>
      </c>
    </row>
    <row r="9">
      <c r="A9" s="2" t="inlineStr">
        <is>
          <t>Kayıt tamamlandı</t>
        </is>
      </c>
      <c r="B9" s="2" t="inlineStr">
        <is>
          <t>WhatsApp</t>
        </is>
      </c>
      <c r="C9" s="2" t="inlineStr">
        <is>
          <t>Aramıza hoş geldiniz [Ad]! [Program] [tarih] [saat]'te [mekân]'da başlıyor. İlk seanstan önce bilmeniz gerekenleri bir gün önce paylaşacağız. Sorunuz olursa buradayız.</t>
        </is>
      </c>
    </row>
    <row r="10">
      <c r="A10" s="2" t="inlineStr">
        <is>
          <t>Sonraki dönem (izin 'Evet' olanlara)</t>
        </is>
      </c>
      <c r="B10" s="2" t="inlineStr">
        <is>
          <t>WhatsApp / e-posta</t>
        </is>
      </c>
      <c r="C10" s="2" t="inlineStr">
        <is>
          <t>Merhaba [Ad], daha önce [Program] ile ilgilenmiştiniz. Yeni dönem [tarih]'te başlıyor ve [tarih]'te ücretsiz tanışma günümüz var. İsterseniz sizi listeye yazayım.</t>
        </is>
      </c>
    </row>
    <row r="11">
      <c r="A11" s="2" t="inlineStr">
        <is>
          <t>Google yorumu isteme</t>
        </is>
      </c>
      <c r="B11" s="2" t="inlineStr">
        <is>
          <t>WhatsApp</t>
        </is>
      </c>
      <c r="C11" s="2" t="inlineStr">
        <is>
          <t>Merhaba [Ad], programdaki emeğiniz bizim için çok değerli. Deneyiminizi iki cümleyle Google'da paylaşırsanız, bizi arayan başka insanlara çok yardımcı olur: [Google yorum linki]. Teşekkürler!</t>
        </is>
      </c>
    </row>
    <row r="12">
      <c r="A12" s="2" t="inlineStr">
        <is>
          <t>Instagram DM ilk yanıt (program belirsizse)</t>
        </is>
      </c>
      <c r="B12" s="2" t="inlineStr">
        <is>
          <t>Instagram</t>
        </is>
      </c>
      <c r="C12" s="2" t="inlineStr">
        <is>
          <t>docs/mesajlar/KONUSMA-MESAJLARI.md içindeki 'Instagram Otomatik İlk Yanıt' metni. Program belliyse doğrudan o programın dosya mesajını at, çift mesaj gönderme.</t>
        </is>
      </c>
    </row>
  </sheetData>
  <pageMargins left="0.75" right="0.75" top="1" bottom="1" header="0.5" footer="0.5"/>
</worksheet>
</file>

<file path=xl/worksheets/sheet12.xml><?xml version="1.0" encoding="utf-8"?>
<worksheet xmlns="http://schemas.openxmlformats.org/spreadsheetml/2006/main">
  <sheetPr>
    <tabColor rgb="001E88E5"/>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120" customWidth="1" min="3" max="3"/>
  </cols>
  <sheetData>
    <row r="1" ht="28" customHeight="1">
      <c r="A1" s="1" t="inlineStr">
        <is>
          <t>#</t>
        </is>
      </c>
      <c r="B1" s="1" t="inlineStr">
        <is>
          <t>Konu</t>
        </is>
      </c>
      <c r="C1" s="1" t="inlineStr">
        <is>
          <t>Detay</t>
        </is>
      </c>
    </row>
    <row r="2">
      <c r="A2" s="2" t="inlineStr">
        <is>
          <t>1</t>
        </is>
      </c>
      <c r="B2" s="2" t="inlineStr">
        <is>
          <t>Kapsam</t>
        </is>
      </c>
      <c r="C2" s="2" t="inlineStr">
        <is>
          <t>Meta Ads, Google Ads, grafik tasarım, Instagram post/story/reels üretimi ve yayını bu arkadaşta. Yağız ve Melis reklam paneline girmiyor, görsel üretmiyor artık — sadece metin/öncelik veriyor ve SKOR'u okuyor.</t>
        </is>
      </c>
    </row>
    <row r="3">
      <c r="A3" s="2" t="inlineStr">
        <is>
          <t>2</t>
        </is>
      </c>
      <c r="B3" s="2" t="inlineStr">
        <is>
          <t>Hesap erişimleri</t>
        </is>
      </c>
      <c r="C3" s="2" t="inlineStr">
        <is>
          <t>Meta reklam hesabı: act_1943993929852674 (YenireklamHesabıTechneLAb) · İşletme portföyü: 1605741837254289 · Piksel: 1542440530516639 · Google Ads: 669-492-3541, techne.lab.istanbul@gmail.com. Erişimi Yağız verir.</t>
        </is>
      </c>
    </row>
    <row r="4">
      <c r="A4" s="2" t="inlineStr">
        <is>
          <t>3</t>
        </is>
      </c>
      <c r="B4" s="2" t="inlineStr">
        <is>
          <t>Program kaynağı — TEK DOĞRU YER</t>
        </is>
      </c>
      <c r="C4" s="2" t="inlineStr">
        <is>
          <t>Fiyat, tarih, paket: /Users/macbookpro/Downloads/technelab/src/lib/data.ts. Tanışma günü seansları: src/app/tanisma-gunu/sessions.ts. Reklamdaki tarih bu iki dosyayla aynı olmak zorunda — farklıysa reklam geçmiş tarih duyurur, tıklayan kaybedilir. Kod erişimi yoksa Yağız'dan güncel tabloyu iste, tahmin etme.</t>
        </is>
      </c>
    </row>
    <row r="5">
      <c r="A5" s="2" t="inlineStr">
        <is>
          <t>4</t>
        </is>
      </c>
      <c r="B5" s="2" t="inlineStr">
        <is>
          <t>Dil kuralları — reklam metninde de geçerli</t>
        </is>
      </c>
      <c r="C5" s="2" t="inlineStr">
        <is>
          <t>'Ders' kelimesi yasak (atölye/program/seans denir). Postta ve reklam metninde telefon numarası yok, yönlendirme DM/siteye. Eğitmen adı ve unvanı reklam metnine konmaz. 'Ücretsiz' cümle içinde geçer, başlıkta bağırmaz. Em dash (—) kullanılmaz. Fiyat sitede gizli, DM'den verilir.</t>
        </is>
      </c>
    </row>
    <row r="6">
      <c r="A6" s="2" t="inlineStr">
        <is>
          <t>5</t>
        </is>
      </c>
      <c r="B6" s="2" t="inlineStr">
        <is>
          <t>Marka kimliği</t>
        </is>
      </c>
      <c r="C6" s="2" t="inlineStr">
        <is>
          <t>Bauhaus estetiği × Berlin underground × İstanbul tiyatro sahnesi. Zemin siyahı #0A0A0C, vurgu neon yeşil #C8FF00. Fotoğraf dili: gerçek an, sahne ışığı, kalabalık poz yok. Kurumsal kimlik kılavuzunun tamamı 90 GÜN planının 5. haftasında Yağız'dan gelecek.</t>
        </is>
      </c>
    </row>
    <row r="7">
      <c r="A7" s="2" t="inlineStr">
        <is>
          <t>6</t>
        </is>
      </c>
      <c r="B7" s="2" t="inlineStr">
        <is>
          <t>Geçmiş performans (devraldığın noktada)</t>
        </is>
      </c>
      <c r="C7" s="2" t="inlineStr">
        <is>
          <t>1-14 Eylül Meta: ₺110.088 harcama, 880 mesaj, 23 form. En iyi dönüşüm: Techne Musical Lab (%40,8 tıklama→mesaj, mesaj başı ₺71). En kötü: English Acting Praxis (%4,3, ₺283). Google Ads 30 gündür bütçesinin %14'ünü harcıyordu — 'Hedef gösterim payı' stratejisi ve Broadway kampanyası 0 gösterimdi, kontrol et. Ayrıntı: docs/reklam/, docs/strateji/ klasörleri.</t>
        </is>
      </c>
    </row>
    <row r="8">
      <c r="A8" s="2" t="inlineStr">
        <is>
          <t>7</t>
        </is>
      </c>
      <c r="B8" s="2" t="inlineStr">
        <is>
          <t>Ölçüm — kritik açık</t>
        </is>
      </c>
      <c r="C8" s="2" t="inlineStr">
        <is>
          <t>GA4'te generate_lead, whatsapp_click, phone_call olayları 'önemli etkinlik' işaretli değildi (Yağız bunu Eylül'ün 3. haftasında kapatıyor). Kapanmadan optimizasyon kararı gerçek veriye dayanmaz — ilk hafta bunu Yağız'la teyit et.</t>
        </is>
      </c>
    </row>
    <row r="9">
      <c r="A9" s="2" t="inlineStr">
        <is>
          <t>8</t>
        </is>
      </c>
      <c r="B9" s="2" t="inlineStr">
        <is>
          <t>Her hafta Yağız'a ne bildirilir</t>
        </is>
      </c>
      <c r="C9" s="2" t="inlineStr">
        <is>
          <t>SKOR sekmesine (Google Sheet, paylaşılacak): program bazında harcama, mesaj sayısı, form/kayıt sayısı, kayıt başı maliyet. Pazartesi 15 dakikalık görüşmede aktarılır.</t>
        </is>
      </c>
    </row>
    <row r="10">
      <c r="A10" s="2" t="inlineStr">
        <is>
          <t>9</t>
        </is>
      </c>
      <c r="B10" s="2" t="inlineStr">
        <is>
          <t>Yağız'ın hâlâ kendisinin yaptığı/karar verdiği şey</t>
        </is>
      </c>
      <c r="C10" s="2" t="inlineStr">
        <is>
          <t>Aylık bütçe onayı, program önceliği (hangi haftada hangi programa ağırlık), marka dili ve kurumsal kimlik kararı, kriz durumunda (geçmiş tarihli reklam, marka ihlali) müdahale.</t>
        </is>
      </c>
    </row>
  </sheetData>
  <pageMargins left="0.75" right="0.75" top="1" bottom="1" header="0.5" footer="0.5"/>
</worksheet>
</file>

<file path=xl/worksheets/sheet13.xml><?xml version="1.0" encoding="utf-8"?>
<worksheet xmlns="http://schemas.openxmlformats.org/spreadsheetml/2006/main">
  <sheetPr>
    <tabColor rgb="00757575"/>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9" customWidth="1" min="4" max="4"/>
    <col width="9" customWidth="1" min="5" max="5"/>
    <col width="100" customWidth="1" min="6" max="6"/>
  </cols>
  <sheetData>
    <row r="1" ht="28" customHeight="1">
      <c r="A1" s="1" t="inlineStr">
        <is>
          <t>Tarih</t>
        </is>
      </c>
      <c r="B1" s="1" t="inlineStr">
        <is>
          <t>Liste</t>
        </is>
      </c>
      <c r="C1" s="1" t="inlineStr">
        <is>
          <t>Tür</t>
        </is>
      </c>
      <c r="D1" s="1" t="inlineStr">
        <is>
          <t>Yapılan</t>
        </is>
      </c>
      <c r="E1" s="1" t="inlineStr">
        <is>
          <t>Toplam</t>
        </is>
      </c>
      <c r="F1" s="1" t="inlineStr">
        <is>
          <t>Kalan görevler</t>
        </is>
      </c>
    </row>
  </sheetData>
  <pageMargins left="0.75" right="0.75" top="1" bottom="1" header="0.5" footer="0.5"/>
</worksheet>
</file>

<file path=xl/worksheets/sheet14.xml><?xml version="1.0" encoding="utf-8"?>
<worksheet xmlns="http://schemas.openxmlformats.org/spreadsheetml/2006/main">
  <sheetPr>
    <tabColor rgb="00757575"/>
    <outlinePr summaryBelow="1" summaryRight="1"/>
    <pageSetUpPr/>
  </sheetPr>
  <dimension ref="A1:A292"/>
  <sheetViews>
    <sheetView workbookViewId="0">
      <pane ySplit="1" topLeftCell="A2" activePane="bottomLeft" state="frozen"/>
      <selection pane="bottomLeft" activeCell="A1" sqref="A1"/>
    </sheetView>
  </sheetViews>
  <sheetFormatPr baseColWidth="8" defaultRowHeight="15"/>
  <cols>
    <col width="160" customWidth="1" min="1" max="1"/>
  </cols>
  <sheetData>
    <row r="1" ht="28" customHeight="1">
      <c r="A1" s="1" t="inlineStr">
        <is>
          <t>Apps Script kodu: A sütununun tamamını seçip kopyala, Uzantılar &gt; Apps Script'e yapıştır</t>
        </is>
      </c>
    </row>
    <row r="2">
      <c r="A2" s="8" t="inlineStr">
        <is>
          <t>/**</t>
        </is>
      </c>
    </row>
    <row r="3">
      <c r="A3" s="8" t="inlineStr">
        <is>
          <t xml:space="preserve"> * TECHNE LAB · OPERASYON OTOMASYONU</t>
        </is>
      </c>
    </row>
    <row r="4">
      <c r="A4" s="8" t="inlineStr">
        <is>
          <t xml:space="preserve"> *</t>
        </is>
      </c>
    </row>
    <row r="5">
      <c r="A5" s="8" t="inlineStr">
        <is>
          <t xml:space="preserve"> * Ne yapar:</t>
        </is>
      </c>
    </row>
    <row r="6">
      <c r="A6" s="8" t="inlineStr">
        <is>
          <t xml:space="preserve"> *  1. Siteden gelen "Tanışma Günü" e-postalarını 15 dakikada bir ADAYLAR sekmesine ekler.</t>
        </is>
      </c>
    </row>
    <row r="7">
      <c r="A7" s="8" t="inlineStr">
        <is>
          <t xml:space="preserve"> *  2. Melis bir adayın DURUM'unu değiştirince "Son temas", "Sonraki adım" ve tarihini kendisi doldurur.</t>
        </is>
      </c>
    </row>
    <row r="8">
      <c r="A8" s="8" t="inlineStr">
        <is>
          <t xml:space="preserve"> *     Durum "8-KAYIT OLDU" olunca aday KAYIT-TAHSİLAT sekmesine de otomatik eklenir.</t>
        </is>
      </c>
    </row>
    <row r="9">
      <c r="A9" s="8" t="inlineStr">
        <is>
          <t xml:space="preserve"> *  3. Her sabah 07:00'de günlük listelerin tiklerini ARŞİV'e yazar ve sıfırlar</t>
        </is>
      </c>
    </row>
    <row r="10">
      <c r="A10" s="8" t="inlineStr">
        <is>
          <t xml:space="preserve"> *     (Pazartesi haftalık, ayın 1'i aylık liste de sıfırlanır).</t>
        </is>
      </c>
    </row>
    <row r="11">
      <c r="A11" s="8" t="inlineStr">
        <is>
          <t xml:space="preserve"> *  4. MELIS_EMAIL doluysa hafta içi her sabah Melis'e "bugün aranacaklar" e-postası gönderir.</t>
        </is>
      </c>
    </row>
    <row r="12">
      <c r="A12" s="8" t="inlineStr">
        <is>
          <t xml:space="preserve"> *</t>
        </is>
      </c>
    </row>
    <row r="13">
      <c r="A13" s="8" t="inlineStr">
        <is>
          <t xml:space="preserve"> * Kurulum (bir kez, 5 dakika):</t>
        </is>
      </c>
    </row>
    <row r="14">
      <c r="A14" s="8" t="inlineStr">
        <is>
          <t xml:space="preserve"> *  Sheet'te Uzantılar &gt; Apps Script &gt; bu kodun tamamını yapıştır &gt; Kaydet.</t>
        </is>
      </c>
    </row>
    <row r="15">
      <c r="A15" s="8" t="inlineStr">
        <is>
          <t xml:space="preserve"> *  Sheet'i yenile &gt; üstte "Techne Lab" menüsü çıkar &gt; "İlk kurulum" &gt; izinleri onayla.</t>
        </is>
      </c>
    </row>
    <row r="16">
      <c r="A16" s="8" t="inlineStr">
        <is>
          <t xml:space="preserve"> */</t>
        </is>
      </c>
    </row>
    <row r="17">
      <c r="A17" s="8" t="inlineStr"/>
    </row>
    <row r="18">
      <c r="A18" s="8" t="inlineStr">
        <is>
          <t>const AYAR = {</t>
        </is>
      </c>
    </row>
    <row r="19">
      <c r="A19" s="8" t="inlineStr">
        <is>
          <t xml:space="preserve">  MELIS_EMAIL: '', // Örnek: 'melis@technelabistanbul.com'. Boş kalırsa sabah e-postası gitmez.</t>
        </is>
      </c>
    </row>
    <row r="20">
      <c r="A20" s="8" t="inlineStr">
        <is>
          <t xml:space="preserve">  FORM_GONDEREN: 'info@technelabistanbul.com',</t>
        </is>
      </c>
    </row>
    <row r="21">
      <c r="A21" s="8" t="inlineStr">
        <is>
          <t>};</t>
        </is>
      </c>
    </row>
    <row r="22">
      <c r="A22" s="8" t="inlineStr"/>
    </row>
    <row r="23">
      <c r="A23" s="8" t="inlineStr">
        <is>
          <t>const SEKME = {</t>
        </is>
      </c>
    </row>
    <row r="24">
      <c r="A24" s="8" t="inlineStr">
        <is>
          <t xml:space="preserve">  ADAY: 'ADAYLAR',</t>
        </is>
      </c>
    </row>
    <row r="25">
      <c r="A25" s="8" t="inlineStr">
        <is>
          <t xml:space="preserve">  KAYIT: 'KAYIT-TAHSİLAT',</t>
        </is>
      </c>
    </row>
    <row r="26">
      <c r="A26" s="8" t="inlineStr">
        <is>
          <t xml:space="preserve">  MELIS: 'MELİS GÜNLÜK',</t>
        </is>
      </c>
    </row>
    <row r="27">
      <c r="A27" s="8" t="inlineStr">
        <is>
          <t xml:space="preserve">  YAGIZ: 'YAĞIZ GÜNLÜK',</t>
        </is>
      </c>
    </row>
    <row r="28">
      <c r="A28" s="8" t="inlineStr">
        <is>
          <t xml:space="preserve">  HAFTA: 'HAFTALIK',</t>
        </is>
      </c>
    </row>
    <row r="29">
      <c r="A29" s="8" t="inlineStr">
        <is>
          <t xml:space="preserve">  AY: 'AYLIK',</t>
        </is>
      </c>
    </row>
    <row r="30">
      <c r="A30" s="8" t="inlineStr">
        <is>
          <t xml:space="preserve">  ARSIV: 'ARŞİV',</t>
        </is>
      </c>
    </row>
    <row r="31">
      <c r="A31" s="8" t="inlineStr">
        <is>
          <t>};</t>
        </is>
      </c>
    </row>
    <row r="32">
      <c r="A32" s="8" t="inlineStr"/>
    </row>
    <row r="33">
      <c r="A33" s="8" t="inlineStr">
        <is>
          <t>// ADAYLAR sütunları (1'den başlar)</t>
        </is>
      </c>
    </row>
    <row r="34">
      <c r="A34" s="8" t="inlineStr">
        <is>
          <t>const K = {</t>
        </is>
      </c>
    </row>
    <row r="35">
      <c r="A35" s="8" t="inlineStr">
        <is>
          <t xml:space="preserve">  TARIH: 1, KAYNAK: 2, PROGRAM: 3, SEANS: 4, AD: 5, TEL: 6, EPOSTA: 7, IG: 8, YAS: 9,</t>
        </is>
      </c>
    </row>
    <row r="36">
      <c r="A36" s="8" t="inlineStr">
        <is>
          <t xml:space="preserve">  MESLEK: 10, INGILIZCE: 11, DENEYIM: 12, DUYDU: 13, IZIN: 14, DURUM: 15, DENEME: 16,</t>
        </is>
      </c>
    </row>
    <row r="37">
      <c r="A37" s="8" t="inlineStr">
        <is>
          <t xml:space="preserve">  SON_TEMAS: 17, SONRAKI: 18, SONRAKI_TARIH: 19, TUTAR: 20, NOT: 21, ID: 22,</t>
        </is>
      </c>
    </row>
    <row r="38">
      <c r="A38" s="8" t="inlineStr">
        <is>
          <t>};</t>
        </is>
      </c>
    </row>
    <row r="39">
      <c r="A39" s="8" t="inlineStr"/>
    </row>
    <row r="40">
      <c r="A40" s="8" t="inlineStr">
        <is>
          <t>// Durum değişince önerilen sonraki adım ve kaç gün sonra</t>
        </is>
      </c>
    </row>
    <row r="41">
      <c r="A41" s="8" t="inlineStr">
        <is>
          <t>const AKIS = {</t>
        </is>
      </c>
    </row>
    <row r="42">
      <c r="A42" s="8" t="inlineStr">
        <is>
          <t xml:space="preserve">  '1-Yeni':               ['İlk arama (24 saat içinde)', 0],</t>
        </is>
      </c>
    </row>
    <row r="43">
      <c r="A43" s="8" t="inlineStr">
        <is>
          <t xml:space="preserve">  '2-Ulaşılamadı':        ['Tekrar ara + WhatsApp "ulaşılamadı" mesajı', 1],</t>
        </is>
      </c>
    </row>
    <row r="44">
      <c r="A44" s="8" t="inlineStr">
        <is>
          <t xml:space="preserve">  '3-Görüşüldü':          ['Program dosyasını gönder, tanışmaya davet et', 2],</t>
        </is>
      </c>
    </row>
    <row r="45">
      <c r="A45" s="8" t="inlineStr">
        <is>
          <t xml:space="preserve">  '4-Tanışmaya gelecek':  ['Tanışmadan 1 gün önce hatırlatma mesajı', 0],</t>
        </is>
      </c>
    </row>
    <row r="46">
      <c r="A46" s="8" t="inlineStr">
        <is>
          <t xml:space="preserve">  '5-Tanışmaya geldi':    ['Aynı akşam teşekkür + ertesi gün kayıt görüşmesi', 1],</t>
        </is>
      </c>
    </row>
    <row r="47">
      <c r="A47" s="8" t="inlineStr">
        <is>
          <t xml:space="preserve">  '6-Gelmedi':            ['Yeni tanışma tarihi ya da birebir görüşme öner', 1],</t>
        </is>
      </c>
    </row>
    <row r="48">
      <c r="A48" s="8" t="inlineStr">
        <is>
          <t xml:space="preserve">  '7-Ödeme bekleniyor':   ['Ödeme hatırlatması', 2],</t>
        </is>
      </c>
    </row>
    <row r="49">
      <c r="A49" s="8" t="inlineStr">
        <is>
          <t xml:space="preserve">  '8-KAYIT OLDU':         ['KAYIT-TAHSİLAT satırını tamamla', 0],</t>
        </is>
      </c>
    </row>
    <row r="50">
      <c r="A50" s="8" t="inlineStr">
        <is>
          <t xml:space="preserve">  '9-Kaybedildi':         ['Kayıp nedenini NOT sütununa yaz', 0],</t>
        </is>
      </c>
    </row>
    <row r="51">
      <c r="A51" s="8" t="inlineStr">
        <is>
          <t xml:space="preserve">  '10-Sonraki dönem':     ['Yeni dönem duyurusunda haber ver', 30],</t>
        </is>
      </c>
    </row>
    <row r="52">
      <c r="A52" s="8" t="inlineStr">
        <is>
          <t>};</t>
        </is>
      </c>
    </row>
    <row r="53">
      <c r="A53" s="8" t="inlineStr"/>
    </row>
    <row r="54">
      <c r="A54" s="8" t="inlineStr">
        <is>
          <t>function ss() { return SpreadsheetApp.getActiveSpreadsheet(); }</t>
        </is>
      </c>
    </row>
    <row r="55">
      <c r="A55" s="8" t="inlineStr">
        <is>
          <t>function bugun() { const d = new Date(); d.setHours(0, 0, 0, 0); return d; }</t>
        </is>
      </c>
    </row>
    <row r="56">
      <c r="A56" s="8" t="inlineStr">
        <is>
          <t>function gunEkle(d, n) { const x = new Date(d); x.setDate(x.getDate() + n); return x; }</t>
        </is>
      </c>
    </row>
    <row r="57">
      <c r="A57" s="8" t="inlineStr"/>
    </row>
    <row r="58">
      <c r="A58" s="8" t="inlineStr">
        <is>
          <t>/* ---------------- MENÜ ---------------- */</t>
        </is>
      </c>
    </row>
    <row r="59">
      <c r="A59" s="8" t="inlineStr"/>
    </row>
    <row r="60">
      <c r="A60" s="8" t="inlineStr">
        <is>
          <t>function onOpen() {</t>
        </is>
      </c>
    </row>
    <row r="61">
      <c r="A61" s="8" t="inlineStr">
        <is>
          <t xml:space="preserve">  SpreadsheetApp.getUi().createMenu('Techne Lab')</t>
        </is>
      </c>
    </row>
    <row r="62">
      <c r="A62" s="8" t="inlineStr">
        <is>
          <t xml:space="preserve">    .addItem('Yeni başvuruları şimdi çek', 'gmaildenAdayCek')</t>
        </is>
      </c>
    </row>
    <row r="63">
      <c r="A63" s="8" t="inlineStr">
        <is>
          <t xml:space="preserve">    .addItem('Bugünün arama listesini e-postayla gönder', 'sabahOzeti')</t>
        </is>
      </c>
    </row>
    <row r="64">
      <c r="A64" s="8" t="inlineStr">
        <is>
          <t xml:space="preserve">    .addSeparator()</t>
        </is>
      </c>
    </row>
    <row r="65">
      <c r="A65" s="8" t="inlineStr">
        <is>
          <t xml:space="preserve">    .addItem('İlk kurulum (bir kez)', 'kurulum')</t>
        </is>
      </c>
    </row>
    <row r="66">
      <c r="A66" s="8" t="inlineStr">
        <is>
          <t xml:space="preserve">    .addToUi();</t>
        </is>
      </c>
    </row>
    <row r="67">
      <c r="A67" s="8" t="inlineStr">
        <is>
          <t>}</t>
        </is>
      </c>
    </row>
    <row r="68">
      <c r="A68" s="8" t="inlineStr"/>
    </row>
    <row r="69">
      <c r="A69" s="8" t="inlineStr">
        <is>
          <t>function kurulum() {</t>
        </is>
      </c>
    </row>
    <row r="70">
      <c r="A70" s="8" t="inlineStr">
        <is>
          <t xml:space="preserve">  ScriptApp.getProjectTriggers().forEach(t =&gt; ScriptApp.deleteTrigger(t));</t>
        </is>
      </c>
    </row>
    <row r="71">
      <c r="A71" s="8" t="inlineStr">
        <is>
          <t xml:space="preserve">  ScriptApp.newTrigger('gmaildenAdayCek').timeBased().everyMinutes(15).create();</t>
        </is>
      </c>
    </row>
    <row r="72">
      <c r="A72" s="8" t="inlineStr">
        <is>
          <t xml:space="preserve">  ScriptApp.newTrigger('gunBasi').timeBased().atHour(7).nearMinute(0).everyDays(1).create();</t>
        </is>
      </c>
    </row>
    <row r="73">
      <c r="A73" s="8" t="inlineStr">
        <is>
          <t xml:space="preserve">  ScriptApp.newTrigger('durumDegisti').forSpreadsheet(ss()).onEdit().create();</t>
        </is>
      </c>
    </row>
    <row r="74">
      <c r="A74" s="8" t="inlineStr"/>
    </row>
    <row r="75">
      <c r="A75" s="8" t="inlineStr">
        <is>
          <t xml:space="preserve">  // Görev listelerindeki ilk sütunu onay kutusuna çevir</t>
        </is>
      </c>
    </row>
    <row r="76">
      <c r="A76" s="8" t="inlineStr">
        <is>
          <t xml:space="preserve">  [SEKME.MELIS, SEKME.YAGIZ, SEKME.HAFTA, SEKME.AY].forEach(ad =&gt; {</t>
        </is>
      </c>
    </row>
    <row r="77">
      <c r="A77" s="8" t="inlineStr">
        <is>
          <t xml:space="preserve">    const sh = ss().getSheetByName(ad);</t>
        </is>
      </c>
    </row>
    <row r="78">
      <c r="A78" s="8" t="inlineStr">
        <is>
          <t xml:space="preserve">    if (!sh || sh.getLastRow() &lt; 2) return;</t>
        </is>
      </c>
    </row>
    <row r="79">
      <c r="A79" s="8" t="inlineStr">
        <is>
          <t xml:space="preserve">    const r = sh.getRange(2, 1, sh.getLastRow() - 1, 1);</t>
        </is>
      </c>
    </row>
    <row r="80">
      <c r="A80" s="8" t="inlineStr">
        <is>
          <t xml:space="preserve">    r.clearDataValidations();</t>
        </is>
      </c>
    </row>
    <row r="81">
      <c r="A81" s="8" t="inlineStr">
        <is>
          <t xml:space="preserve">    r.insertCheckboxes();</t>
        </is>
      </c>
    </row>
    <row r="82">
      <c r="A82" s="8" t="inlineStr">
        <is>
          <t xml:space="preserve">  });</t>
        </is>
      </c>
    </row>
    <row r="83">
      <c r="A83" s="8" t="inlineStr"/>
    </row>
    <row r="84">
      <c r="A84" s="8" t="inlineStr">
        <is>
          <t xml:space="preserve">  gmaildenAdayCek(true);</t>
        </is>
      </c>
    </row>
    <row r="85">
      <c r="A85" s="8" t="inlineStr">
        <is>
          <t xml:space="preserve">  SpreadsheetApp.getUi().alert(</t>
        </is>
      </c>
    </row>
    <row r="86">
      <c r="A86" s="8" t="inlineStr">
        <is>
          <t xml:space="preserve">    'Kurulum tamam.\n\n' +</t>
        </is>
      </c>
    </row>
    <row r="87">
      <c r="A87" s="8" t="inlineStr">
        <is>
          <t xml:space="preserve">    '· Yeni başvurular 15 dakikada bir ADAYLAR sekmesine düşecek.\n' +</t>
        </is>
      </c>
    </row>
    <row r="88">
      <c r="A88" s="8" t="inlineStr">
        <is>
          <t xml:space="preserve">    '· Her sabah 07:00 listeler sıfırlanıp ARŞİV\'e yazılacak.\n' +</t>
        </is>
      </c>
    </row>
    <row r="89">
      <c r="A89" s="8" t="inlineStr">
        <is>
          <t xml:space="preserve">    (AYAR.MELIS_EMAIL ? '· Melis\'e hafta içi sabah özeti gidecek.' : '· Melis\'e sabah e-postası için koddaki MELIS_EMAIL satırını doldur.')</t>
        </is>
      </c>
    </row>
    <row r="90">
      <c r="A90" s="8" t="inlineStr">
        <is>
          <t xml:space="preserve">  );</t>
        </is>
      </c>
    </row>
    <row r="91">
      <c r="A91" s="8" t="inlineStr">
        <is>
          <t>}</t>
        </is>
      </c>
    </row>
    <row r="92">
      <c r="A92" s="8" t="inlineStr"/>
    </row>
    <row r="93">
      <c r="A93" s="8" t="inlineStr">
        <is>
          <t>/* ---------------- 1. GMAIL &gt; ADAYLAR ---------------- */</t>
        </is>
      </c>
    </row>
    <row r="94">
      <c r="A94" s="8" t="inlineStr"/>
    </row>
    <row r="95">
      <c r="A95" s="8" t="inlineStr">
        <is>
          <t>function gmaildenAdayCek(ilkKurulum) {</t>
        </is>
      </c>
    </row>
    <row r="96">
      <c r="A96" s="8" t="inlineStr">
        <is>
          <t xml:space="preserve">  const sh = ss().getSheetByName(SEKME.ADAY);</t>
        </is>
      </c>
    </row>
    <row r="97">
      <c r="A97" s="8" t="inlineStr">
        <is>
          <t xml:space="preserve">  const gun = ilkKurulum === true ? '45d' : '3d';</t>
        </is>
      </c>
    </row>
    <row r="98">
      <c r="A98" s="8" t="inlineStr">
        <is>
          <t xml:space="preserve">  const sorgu = `from:${AYAR.FORM_GONDEREN} subject:"Tanışma Günü" newer_than:${gun}`;</t>
        </is>
      </c>
    </row>
    <row r="99">
      <c r="A99" s="8" t="inlineStr"/>
    </row>
    <row r="100">
      <c r="A100" s="8" t="inlineStr">
        <is>
          <t xml:space="preserve">  const sonSatir = sh.getLastRow();</t>
        </is>
      </c>
    </row>
    <row r="101">
      <c r="A101" s="8" t="inlineStr">
        <is>
          <t xml:space="preserve">  const mevcut = new Set(</t>
        </is>
      </c>
    </row>
    <row r="102">
      <c r="A102" s="8" t="inlineStr">
        <is>
          <t xml:space="preserve">    sonSatir &gt;= 2</t>
        </is>
      </c>
    </row>
    <row r="103">
      <c r="A103" s="8" t="inlineStr">
        <is>
          <t xml:space="preserve">      ? sh.getRange(2, K.ID, sonSatir - 1, 1).getValues().map(r =&gt; String(r[0]).toLowerCase())</t>
        </is>
      </c>
    </row>
    <row r="104">
      <c r="A104" s="8" t="inlineStr">
        <is>
          <t xml:space="preserve">      : []</t>
        </is>
      </c>
    </row>
    <row r="105">
      <c r="A105" s="8" t="inlineStr">
        <is>
          <t xml:space="preserve">  );</t>
        </is>
      </c>
    </row>
    <row r="106">
      <c r="A106" s="8" t="inlineStr"/>
    </row>
    <row r="107">
      <c r="A107" s="8" t="inlineStr">
        <is>
          <t xml:space="preserve">  const yeni = [];</t>
        </is>
      </c>
    </row>
    <row r="108">
      <c r="A108" s="8" t="inlineStr">
        <is>
          <t xml:space="preserve">  GmailApp.search(sorgu, 0, 200).forEach(thread =&gt; {</t>
        </is>
      </c>
    </row>
    <row r="109">
      <c r="A109" s="8" t="inlineStr">
        <is>
          <t xml:space="preserve">    thread.getMessages().forEach(m =&gt; {</t>
        </is>
      </c>
    </row>
    <row r="110">
      <c r="A110" s="8" t="inlineStr">
        <is>
          <t xml:space="preserve">      if (!/^Tanışma Günü/.test(m.getSubject())) return;</t>
        </is>
      </c>
    </row>
    <row r="111">
      <c r="A111" s="8" t="inlineStr">
        <is>
          <t xml:space="preserve">      const f = formuOku(m.getBody());</t>
        </is>
      </c>
    </row>
    <row r="112">
      <c r="A112" s="8" t="inlineStr">
        <is>
          <t xml:space="preserve">      if (!f['Tanışma Günü']) return;</t>
        </is>
      </c>
    </row>
    <row r="113">
      <c r="A113" s="8" t="inlineStr"/>
    </row>
    <row r="114">
      <c r="A114" s="8" t="inlineStr">
        <is>
          <t xml:space="preserve">      const [program, ...seansParca] = f['Tanışma Günü'].split(' — ');</t>
        </is>
      </c>
    </row>
    <row r="115">
      <c r="A115" s="8" t="inlineStr">
        <is>
          <t xml:space="preserve">      const youth = !!f['Veli Telefon'];</t>
        </is>
      </c>
    </row>
    <row r="116">
      <c r="A116" s="8" t="inlineStr">
        <is>
          <t xml:space="preserve">      const eposta = youth ? (f['Veli E-posta'] || '') : (f['E-posta'] || '');</t>
        </is>
      </c>
    </row>
    <row r="117">
      <c r="A117" s="8" t="inlineStr">
        <is>
          <t xml:space="preserve">      const tel = youth ? (f['Veli Telefon'] || '') : (f['Telefon'] || '');</t>
        </is>
      </c>
    </row>
    <row r="118">
      <c r="A118" s="8" t="inlineStr">
        <is>
          <t xml:space="preserve">      const anahtar = `${(eposta || tel).toLowerCase()}|${program.trim().toLowerCase()}`;</t>
        </is>
      </c>
    </row>
    <row r="119">
      <c r="A119" s="8" t="inlineStr">
        <is>
          <t xml:space="preserve">      if (mevcut.has(anahtar)) return;</t>
        </is>
      </c>
    </row>
    <row r="120">
      <c r="A120" s="8" t="inlineStr">
        <is>
          <t xml:space="preserve">      mevcut.add(anahtar);</t>
        </is>
      </c>
    </row>
    <row r="121">
      <c r="A121" s="8" t="inlineStr"/>
    </row>
    <row r="122">
      <c r="A122" s="8" t="inlineStr">
        <is>
          <t xml:space="preserve">      const dogum = parseInt(f['Doğum Yılı'], 10);</t>
        </is>
      </c>
    </row>
    <row r="123">
      <c r="A123" s="8" t="inlineStr">
        <is>
          <t xml:space="preserve">      const deneyim = [</t>
        </is>
      </c>
    </row>
    <row r="124">
      <c r="A124" s="8" t="inlineStr">
        <is>
          <t xml:space="preserve">        f['Sahne Deneyimi'] ? 'Deneyim: ' + f['Sahne Deneyimi'] : '',</t>
        </is>
      </c>
    </row>
    <row r="125">
      <c r="A125" s="8" t="inlineStr">
        <is>
          <t xml:space="preserve">        f['Beklenti'] ? 'Beklenti: ' + f['Beklenti'] : '',</t>
        </is>
      </c>
    </row>
    <row r="126">
      <c r="A126" s="8" t="inlineStr">
        <is>
          <t xml:space="preserve">      ].filter(Boolean).join(' / ');</t>
        </is>
      </c>
    </row>
    <row r="127">
      <c r="A127" s="8" t="inlineStr"/>
    </row>
    <row r="128">
      <c r="A128" s="8" t="inlineStr">
        <is>
          <t xml:space="preserve">      const satir = new Array(K.ID).fill('');</t>
        </is>
      </c>
    </row>
    <row r="129">
      <c r="A129" s="8" t="inlineStr">
        <is>
          <t xml:space="preserve">      satir[K.TARIH - 1] = m.getDate();</t>
        </is>
      </c>
    </row>
    <row r="130">
      <c r="A130" s="8" t="inlineStr">
        <is>
          <t xml:space="preserve">      satir[K.KAYNAK - 1] = 'Form';</t>
        </is>
      </c>
    </row>
    <row r="131">
      <c r="A131" s="8" t="inlineStr">
        <is>
          <t xml:space="preserve">      satir[K.PROGRAM - 1] = program.trim();</t>
        </is>
      </c>
    </row>
    <row r="132">
      <c r="A132" s="8" t="inlineStr">
        <is>
          <t xml:space="preserve">      satir[K.SEANS - 1] = seansParca.join(' — ').trim();</t>
        </is>
      </c>
    </row>
    <row r="133">
      <c r="A133" s="8" t="inlineStr">
        <is>
          <t xml:space="preserve">      satir[K.AD - 1] = f['Ad Soyad'] || f['Öğrenci Adı Soyadı'] || '';</t>
        </is>
      </c>
    </row>
    <row r="134">
      <c r="A134" s="8" t="inlineStr">
        <is>
          <t xml:space="preserve">      satir[K.TEL - 1] = tel ? "'" + tel : '';</t>
        </is>
      </c>
    </row>
    <row r="135">
      <c r="A135" s="8" t="inlineStr">
        <is>
          <t xml:space="preserve">      satir[K.EPOSTA - 1] = eposta;</t>
        </is>
      </c>
    </row>
    <row r="136">
      <c r="A136" s="8" t="inlineStr">
        <is>
          <t xml:space="preserve">      satir[K.IG - 1] = f['Instagram'] || '';</t>
        </is>
      </c>
    </row>
    <row r="137">
      <c r="A137" s="8" t="inlineStr">
        <is>
          <t xml:space="preserve">      satir[K.YAS - 1] = dogum ? new Date().getFullYear() - dogum : '';</t>
        </is>
      </c>
    </row>
    <row r="138">
      <c r="A138" s="8" t="inlineStr">
        <is>
          <t xml:space="preserve">      satir[K.MESLEK - 1] = f['Meslek'] || f['Okul / Sınıf'] || '';</t>
        </is>
      </c>
    </row>
    <row r="139">
      <c r="A139" s="8" t="inlineStr">
        <is>
          <t xml:space="preserve">      satir[K.INGILIZCE - 1] = f['İngilizce Seviyesi'] || '';</t>
        </is>
      </c>
    </row>
    <row r="140">
      <c r="A140" s="8" t="inlineStr">
        <is>
          <t xml:space="preserve">      satir[K.DENEYIM - 1] = deneyim;</t>
        </is>
      </c>
    </row>
    <row r="141">
      <c r="A141" s="8" t="inlineStr">
        <is>
          <t xml:space="preserve">      satir[K.DUYDU - 1] = f['Nasıl Duydu'] || '';</t>
        </is>
      </c>
    </row>
    <row r="142">
      <c r="A142" s="8" t="inlineStr">
        <is>
          <t xml:space="preserve">      satir[K.IZIN - 1] = /^Evet/.test(f['İletişim İzni (duyuru)'] || '') ? 'Evet' : 'Hayır';</t>
        </is>
      </c>
    </row>
    <row r="143">
      <c r="A143" s="8" t="inlineStr">
        <is>
          <t xml:space="preserve">      satir[K.DURUM - 1] = '1-Yeni';</t>
        </is>
      </c>
    </row>
    <row r="144">
      <c r="A144" s="8" t="inlineStr">
        <is>
          <t xml:space="preserve">      satir[K.DENEME - 1] = 0;</t>
        </is>
      </c>
    </row>
    <row r="145">
      <c r="A145" s="8" t="inlineStr">
        <is>
          <t xml:space="preserve">      satir[K.SONRAKI - 1] = AKIS['1-Yeni'][0];</t>
        </is>
      </c>
    </row>
    <row r="146">
      <c r="A146" s="8" t="inlineStr">
        <is>
          <t xml:space="preserve">      satir[K.SONRAKI_TARIH - 1] = bugun();</t>
        </is>
      </c>
    </row>
    <row r="147">
      <c r="A147" s="8" t="inlineStr">
        <is>
          <t xml:space="preserve">      satir[K.NOT - 1] = youth ? 'Youth · Veli: ' + (f['Veli Adı Soyadı'] || '') : '';</t>
        </is>
      </c>
    </row>
    <row r="148">
      <c r="A148" s="8" t="inlineStr">
        <is>
          <t xml:space="preserve">      satir[K.ID - 1] = anahtar;</t>
        </is>
      </c>
    </row>
    <row r="149">
      <c r="A149" s="8" t="inlineStr">
        <is>
          <t xml:space="preserve">      yeni.push(satir);</t>
        </is>
      </c>
    </row>
    <row r="150">
      <c r="A150" s="8" t="inlineStr">
        <is>
          <t xml:space="preserve">    });</t>
        </is>
      </c>
    </row>
    <row r="151">
      <c r="A151" s="8" t="inlineStr">
        <is>
          <t xml:space="preserve">  });</t>
        </is>
      </c>
    </row>
    <row r="152">
      <c r="A152" s="8" t="inlineStr"/>
    </row>
    <row r="153">
      <c r="A153" s="8" t="inlineStr">
        <is>
          <t xml:space="preserve">  if (!yeni.length) return 0;</t>
        </is>
      </c>
    </row>
    <row r="154">
      <c r="A154" s="8" t="inlineStr">
        <is>
          <t xml:space="preserve">  yeni.sort((a, b) =&gt; a[0] - b[0]);</t>
        </is>
      </c>
    </row>
    <row r="155">
      <c r="A155" s="8" t="inlineStr">
        <is>
          <t xml:space="preserve">  sh.getRange(sh.getLastRow() + 1, 1, yeni.length, K.ID).setValues(yeni);</t>
        </is>
      </c>
    </row>
    <row r="156">
      <c r="A156" s="8" t="inlineStr">
        <is>
          <t xml:space="preserve">  return yeni.length;</t>
        </is>
      </c>
    </row>
    <row r="157">
      <c r="A157" s="8" t="inlineStr">
        <is>
          <t>}</t>
        </is>
      </c>
    </row>
    <row r="158">
      <c r="A158" s="8" t="inlineStr"/>
    </row>
    <row r="159">
      <c r="A159" s="8" t="inlineStr">
        <is>
          <t>// E-postadaki "Etiket: değer" tablosunu nesneye çevirir</t>
        </is>
      </c>
    </row>
    <row r="160">
      <c r="A160" s="8" t="inlineStr">
        <is>
          <t>function formuOku(html) {</t>
        </is>
      </c>
    </row>
    <row r="161">
      <c r="A161" s="8" t="inlineStr">
        <is>
          <t xml:space="preserve">  const sonuc = {};</t>
        </is>
      </c>
    </row>
    <row r="162">
      <c r="A162" s="8" t="inlineStr">
        <is>
          <t xml:space="preserve">  const re = /&lt;td[^&gt;]*&gt;([^&lt;]+?):&lt;\/td&gt;\s*&lt;td[^&gt;]*&gt;([\s\S]*?)&lt;\/td&gt;/g;</t>
        </is>
      </c>
    </row>
    <row r="163">
      <c r="A163" s="8" t="inlineStr">
        <is>
          <t xml:space="preserve">  let m;</t>
        </is>
      </c>
    </row>
    <row r="164">
      <c r="A164" s="8" t="inlineStr">
        <is>
          <t xml:space="preserve">  while ((m = re.exec(html)) !== null) {</t>
        </is>
      </c>
    </row>
    <row r="165">
      <c r="A165" s="8" t="inlineStr">
        <is>
          <t xml:space="preserve">    sonuc[temizle(m[1])] = temizle(m[2].replace(/&lt;br\s*\/?&gt;/gi, ' / '));</t>
        </is>
      </c>
    </row>
    <row r="166">
      <c r="A166" s="8" t="inlineStr">
        <is>
          <t xml:space="preserve">  }</t>
        </is>
      </c>
    </row>
    <row r="167">
      <c r="A167" s="8" t="inlineStr">
        <is>
          <t xml:space="preserve">  return sonuc;</t>
        </is>
      </c>
    </row>
    <row r="168">
      <c r="A168" s="8" t="inlineStr">
        <is>
          <t>}</t>
        </is>
      </c>
    </row>
    <row r="169">
      <c r="A169" s="8" t="inlineStr"/>
    </row>
    <row r="170">
      <c r="A170" s="8" t="inlineStr">
        <is>
          <t>function temizle(s) {</t>
        </is>
      </c>
    </row>
    <row r="171">
      <c r="A171" s="8" t="inlineStr">
        <is>
          <t xml:space="preserve">  return s.replace(/&lt;[^&gt;]+&gt;/g, '')</t>
        </is>
      </c>
    </row>
    <row r="172">
      <c r="A172" s="8" t="inlineStr">
        <is>
          <t xml:space="preserve">    .replace(/&amp;amp;/g, '&amp;').replace(/&amp;lt;/g, '&lt;').replace(/&amp;gt;/g, '&gt;')</t>
        </is>
      </c>
    </row>
    <row r="173">
      <c r="A173" s="8" t="inlineStr">
        <is>
          <t xml:space="preserve">    .replace(/&amp;quot;/g, '"').replace(/&amp;#39;/g, "'")</t>
        </is>
      </c>
    </row>
    <row r="174">
      <c r="A174" s="8" t="inlineStr">
        <is>
          <t xml:space="preserve">    .replace(/\s+/g, ' ').trim();</t>
        </is>
      </c>
    </row>
    <row r="175">
      <c r="A175" s="8" t="inlineStr">
        <is>
          <t>}</t>
        </is>
      </c>
    </row>
    <row r="176">
      <c r="A176" s="8" t="inlineStr"/>
    </row>
    <row r="177">
      <c r="A177" s="8" t="inlineStr">
        <is>
          <t>/* ---------------- 2. DURUM DEĞİŞİNCE ---------------- */</t>
        </is>
      </c>
    </row>
    <row r="178">
      <c r="A178" s="8" t="inlineStr"/>
    </row>
    <row r="179">
      <c r="A179" s="8" t="inlineStr">
        <is>
          <t>function durumDegisti(e) {</t>
        </is>
      </c>
    </row>
    <row r="180">
      <c r="A180" s="8" t="inlineStr">
        <is>
          <t xml:space="preserve">  if (!e || !e.range) return;</t>
        </is>
      </c>
    </row>
    <row r="181">
      <c r="A181" s="8" t="inlineStr">
        <is>
          <t xml:space="preserve">  const sh = e.range.getSheet();</t>
        </is>
      </c>
    </row>
    <row r="182">
      <c r="A182" s="8" t="inlineStr">
        <is>
          <t xml:space="preserve">  if (sh.getName() !== SEKME.ADAY || e.range.getColumn() !== K.DURUM || e.range.getRow() &lt; 2) return;</t>
        </is>
      </c>
    </row>
    <row r="183">
      <c r="A183" s="8" t="inlineStr">
        <is>
          <t xml:space="preserve">  if (e.range.getNumRows() &gt; 1) return;</t>
        </is>
      </c>
    </row>
    <row r="184">
      <c r="A184" s="8" t="inlineStr"/>
    </row>
    <row r="185">
      <c r="A185" s="8" t="inlineStr">
        <is>
          <t xml:space="preserve">  const row = e.range.getRow();</t>
        </is>
      </c>
    </row>
    <row r="186">
      <c r="A186" s="8" t="inlineStr">
        <is>
          <t xml:space="preserve">  const durum = String(e.value || '');</t>
        </is>
      </c>
    </row>
    <row r="187">
      <c r="A187" s="8" t="inlineStr">
        <is>
          <t xml:space="preserve">  const akis = AKIS[durum];</t>
        </is>
      </c>
    </row>
    <row r="188">
      <c r="A188" s="8" t="inlineStr">
        <is>
          <t xml:space="preserve">  if (!akis) return;</t>
        </is>
      </c>
    </row>
    <row r="189">
      <c r="A189" s="8" t="inlineStr"/>
    </row>
    <row r="190">
      <c r="A190" s="8" t="inlineStr">
        <is>
          <t xml:space="preserve">  sh.getRange(row, K.SON_TEMAS).setValue(bugun());</t>
        </is>
      </c>
    </row>
    <row r="191">
      <c r="A191" s="8" t="inlineStr">
        <is>
          <t xml:space="preserve">  sh.getRange(row, K.SONRAKI).setValue(akis[0]);</t>
        </is>
      </c>
    </row>
    <row r="192">
      <c r="A192" s="8" t="inlineStr">
        <is>
          <t xml:space="preserve">  sh.getRange(row, K.SONRAKI_TARIH).setValue(gunEkle(bugun(), akis[1]));</t>
        </is>
      </c>
    </row>
    <row r="193">
      <c r="A193" s="8" t="inlineStr"/>
    </row>
    <row r="194">
      <c r="A194" s="8" t="inlineStr">
        <is>
          <t xml:space="preserve">  if (durum === '2-Ulaşılamadı') {</t>
        </is>
      </c>
    </row>
    <row r="195">
      <c r="A195" s="8" t="inlineStr">
        <is>
          <t xml:space="preserve">    const deneme = Number(sh.getRange(row, K.DENEME).getValue() || 0) + 1;</t>
        </is>
      </c>
    </row>
    <row r="196">
      <c r="A196" s="8" t="inlineStr">
        <is>
          <t xml:space="preserve">    sh.getRange(row, K.DENEME).setValue(deneme);</t>
        </is>
      </c>
    </row>
    <row r="197">
      <c r="A197" s="8" t="inlineStr">
        <is>
          <t xml:space="preserve">    if (deneme &gt;= 3) {</t>
        </is>
      </c>
    </row>
    <row r="198">
      <c r="A198" s="8" t="inlineStr">
        <is>
          <t xml:space="preserve">      sh.getRange(row, K.SONRAKI).setValue('3. deneme oldu: son WhatsApp mesajını at, cevap yoksa 10-Sonraki dönem yap');</t>
        </is>
      </c>
    </row>
    <row r="199">
      <c r="A199" s="8" t="inlineStr">
        <is>
          <t xml:space="preserve">    }</t>
        </is>
      </c>
    </row>
    <row r="200">
      <c r="A200" s="8" t="inlineStr">
        <is>
          <t xml:space="preserve">  }</t>
        </is>
      </c>
    </row>
    <row r="201">
      <c r="A201" s="8" t="inlineStr"/>
    </row>
    <row r="202">
      <c r="A202" s="8" t="inlineStr">
        <is>
          <t xml:space="preserve">  if (durum === '8-KAYIT OLDU') kayitSekmesineEkle(sh, row);</t>
        </is>
      </c>
    </row>
    <row r="203">
      <c r="A203" s="8" t="inlineStr">
        <is>
          <t>}</t>
        </is>
      </c>
    </row>
    <row r="204">
      <c r="A204" s="8" t="inlineStr"/>
    </row>
    <row r="205">
      <c r="A205" s="8" t="inlineStr">
        <is>
          <t>function kayitSekmesineEkle(adaySh, row) {</t>
        </is>
      </c>
    </row>
    <row r="206">
      <c r="A206" s="8" t="inlineStr">
        <is>
          <t xml:space="preserve">  const kayit = ss().getSheetByName(SEKME.KAYIT);</t>
        </is>
      </c>
    </row>
    <row r="207">
      <c r="A207" s="8" t="inlineStr">
        <is>
          <t xml:space="preserve">  const v = adaySh.getRange(row, 1, 1, K.ID).getValues()[0];</t>
        </is>
      </c>
    </row>
    <row r="208">
      <c r="A208" s="8" t="inlineStr">
        <is>
          <t xml:space="preserve">  const ad = v[K.AD - 1], program = v[K.PROGRAM - 1];</t>
        </is>
      </c>
    </row>
    <row r="209">
      <c r="A209" s="8" t="inlineStr"/>
    </row>
    <row r="210">
      <c r="A210" s="8" t="inlineStr">
        <is>
          <t xml:space="preserve">  const son = kayit.getLastRow();</t>
        </is>
      </c>
    </row>
    <row r="211">
      <c r="A211" s="8" t="inlineStr">
        <is>
          <t xml:space="preserve">  if (son &gt;= 2) {</t>
        </is>
      </c>
    </row>
    <row r="212">
      <c r="A212" s="8" t="inlineStr">
        <is>
          <t xml:space="preserve">    const var_mi = kayit.getRange(2, 2, son - 1, 2).getValues()</t>
        </is>
      </c>
    </row>
    <row r="213">
      <c r="A213" s="8" t="inlineStr">
        <is>
          <t xml:space="preserve">      .some(r =&gt; r[0] === ad &amp;&amp; r[1] === program);</t>
        </is>
      </c>
    </row>
    <row r="214">
      <c r="A214" s="8" t="inlineStr">
        <is>
          <t xml:space="preserve">    if (var_mi) return;</t>
        </is>
      </c>
    </row>
    <row r="215">
      <c r="A215" s="8" t="inlineStr">
        <is>
          <t xml:space="preserve">  }</t>
        </is>
      </c>
    </row>
    <row r="216">
      <c r="A216" s="8" t="inlineStr">
        <is>
          <t xml:space="preserve">  // İlk boş satırı bul (B sütunu boş olan)</t>
        </is>
      </c>
    </row>
    <row r="217">
      <c r="A217" s="8" t="inlineStr">
        <is>
          <t xml:space="preserve">  const b = kayit.getRange('B2:B').getValues();</t>
        </is>
      </c>
    </row>
    <row r="218">
      <c r="A218" s="8" t="inlineStr">
        <is>
          <t xml:space="preserve">  let hedef = b.findIndex(r =&gt; r[0] === '') + 2;</t>
        </is>
      </c>
    </row>
    <row r="219">
      <c r="A219" s="8" t="inlineStr">
        <is>
          <t xml:space="preserve">  if (hedef &lt; 2) hedef = kayit.getLastRow() + 1;</t>
        </is>
      </c>
    </row>
    <row r="220">
      <c r="A220" s="8" t="inlineStr"/>
    </row>
    <row r="221">
      <c r="A221" s="8" t="inlineStr">
        <is>
          <t xml:space="preserve">  kayit.getRange(hedef, 1, 1, 3).setValues([[bugun(), ad, program]]);</t>
        </is>
      </c>
    </row>
    <row r="222">
      <c r="A222" s="8" t="inlineStr">
        <is>
          <t xml:space="preserve">  const kaynak = [v[K.KAYNAK - 1], v[K.DUYDU - 1]].filter(Boolean).join(' · ');</t>
        </is>
      </c>
    </row>
    <row r="223">
      <c r="A223" s="8" t="inlineStr">
        <is>
          <t xml:space="preserve">  kayit.getRange(hedef, 12).setValue(kaynak);</t>
        </is>
      </c>
    </row>
    <row r="224">
      <c r="A224" s="8" t="inlineStr">
        <is>
          <t>}</t>
        </is>
      </c>
    </row>
    <row r="225">
      <c r="A225" s="8" t="inlineStr"/>
    </row>
    <row r="226">
      <c r="A226" s="8" t="inlineStr">
        <is>
          <t>/* ---------------- 3. SABAH SIFIRLAMA ---------------- */</t>
        </is>
      </c>
    </row>
    <row r="227">
      <c r="A227" s="8" t="inlineStr"/>
    </row>
    <row r="228">
      <c r="A228" s="8" t="inlineStr">
        <is>
          <t>function gunBasi() {</t>
        </is>
      </c>
    </row>
    <row r="229">
      <c r="A229" s="8" t="inlineStr">
        <is>
          <t xml:space="preserve">  const d = new Date();</t>
        </is>
      </c>
    </row>
    <row r="230">
      <c r="A230" s="8" t="inlineStr">
        <is>
          <t xml:space="preserve">  const dun = gunEkle(bugun(), -1);</t>
        </is>
      </c>
    </row>
    <row r="231">
      <c r="A231" s="8" t="inlineStr"/>
    </row>
    <row r="232">
      <c r="A232" s="8" t="inlineStr">
        <is>
          <t xml:space="preserve">  listeyiArsivle(SEKME.MELIS, dun, 'Günlük');</t>
        </is>
      </c>
    </row>
    <row r="233">
      <c r="A233" s="8" t="inlineStr">
        <is>
          <t xml:space="preserve">  listeyiArsivle(SEKME.YAGIZ, dun, 'Günlük');</t>
        </is>
      </c>
    </row>
    <row r="234">
      <c r="A234" s="8" t="inlineStr">
        <is>
          <t xml:space="preserve">  if (d.getDay() === 1) listeyiArsivle(SEKME.HAFTA, dun, 'Haftalık');</t>
        </is>
      </c>
    </row>
    <row r="235">
      <c r="A235" s="8" t="inlineStr">
        <is>
          <t xml:space="preserve">  if (d.getDate() === 1) listeyiArsivle(SEKME.AY, dun, 'Aylık');</t>
        </is>
      </c>
    </row>
    <row r="236">
      <c r="A236" s="8" t="inlineStr"/>
    </row>
    <row r="237">
      <c r="A237" s="8" t="inlineStr">
        <is>
          <t xml:space="preserve">  if (d.getDay() &gt;= 1 &amp;&amp; d.getDay() &lt;= 5) sabahOzeti();</t>
        </is>
      </c>
    </row>
    <row r="238">
      <c r="A238" s="8" t="inlineStr">
        <is>
          <t>}</t>
        </is>
      </c>
    </row>
    <row r="239">
      <c r="A239" s="8" t="inlineStr"/>
    </row>
    <row r="240">
      <c r="A240" s="8" t="inlineStr">
        <is>
          <t>function listeyiArsivle(ad, tarih, tur) {</t>
        </is>
      </c>
    </row>
    <row r="241">
      <c r="A241" s="8" t="inlineStr">
        <is>
          <t xml:space="preserve">  const sh = ss().getSheetByName(ad);</t>
        </is>
      </c>
    </row>
    <row r="242">
      <c r="A242" s="8" t="inlineStr">
        <is>
          <t xml:space="preserve">  if (!sh || sh.getLastRow() &lt; 2) return;</t>
        </is>
      </c>
    </row>
    <row r="243">
      <c r="A243" s="8" t="inlineStr">
        <is>
          <t xml:space="preserve">  const n = sh.getLastRow() - 1;</t>
        </is>
      </c>
    </row>
    <row r="244">
      <c r="A244" s="8" t="inlineStr">
        <is>
          <t xml:space="preserve">  const tik = sh.getRange(2, 1, n, 1);</t>
        </is>
      </c>
    </row>
    <row r="245">
      <c r="A245" s="8" t="inlineStr">
        <is>
          <t xml:space="preserve">  const vals = sh.getRange(2, 1, n, 3).getValues(); // ✓, Saat/Kim, Görev</t>
        </is>
      </c>
    </row>
    <row r="246">
      <c r="A246" s="8" t="inlineStr">
        <is>
          <t xml:space="preserve">  const yapilan = vals.filter(r =&gt; r[0] === true || r[0] === '✓').length;</t>
        </is>
      </c>
    </row>
    <row r="247">
      <c r="A247" s="8" t="inlineStr">
        <is>
          <t xml:space="preserve">  if (yapilan === 0 &amp;&amp; (tarih.getDay() === 0 || tarih.getDay() === 6)) return; // boş hafta sonu</t>
        </is>
      </c>
    </row>
    <row r="248">
      <c r="A248" s="8" t="inlineStr"/>
    </row>
    <row r="249">
      <c r="A249" s="8" t="inlineStr">
        <is>
          <t xml:space="preserve">  const kalan = vals.filter(r =&gt; r[2] &amp;&amp; !(r[0] === true || r[0] === '✓')).map(r =&gt; r[2]);</t>
        </is>
      </c>
    </row>
    <row r="250">
      <c r="A250" s="8" t="inlineStr">
        <is>
          <t xml:space="preserve">  const arsiv = ss().getSheetByName(SEKME.ARSIV);</t>
        </is>
      </c>
    </row>
    <row r="251">
      <c r="A251" s="8" t="inlineStr">
        <is>
          <t xml:space="preserve">  arsiv.appendRow([tarih, ad, tur, yapilan, vals.filter(r =&gt; r[2]).length,</t>
        </is>
      </c>
    </row>
    <row r="252">
      <c r="A252" s="8" t="inlineStr">
        <is>
          <t xml:space="preserve">    kalan.length ? kalan.join(' | ') : 'Hepsi tamam']);</t>
        </is>
      </c>
    </row>
    <row r="253">
      <c r="A253" s="8" t="inlineStr"/>
    </row>
    <row r="254">
      <c r="A254" s="8" t="inlineStr">
        <is>
          <t xml:space="preserve">  const kural = tik.getCell(1, 1).getDataValidation();</t>
        </is>
      </c>
    </row>
    <row r="255">
      <c r="A255" s="8" t="inlineStr">
        <is>
          <t xml:space="preserve">  if (kural &amp;&amp; kural.getCriteriaType() === SpreadsheetApp.DataValidationCriteria.CHECKBOX) tik.uncheck();</t>
        </is>
      </c>
    </row>
    <row r="256">
      <c r="A256" s="8" t="inlineStr">
        <is>
          <t xml:space="preserve">  else tik.clearContent();</t>
        </is>
      </c>
    </row>
    <row r="257">
      <c r="A257" s="8" t="inlineStr">
        <is>
          <t>}</t>
        </is>
      </c>
    </row>
    <row r="258">
      <c r="A258" s="8" t="inlineStr"/>
    </row>
    <row r="259">
      <c r="A259" s="8" t="inlineStr">
        <is>
          <t>/* ---------------- 4. MELİS'E SABAH ÖZETİ ---------------- */</t>
        </is>
      </c>
    </row>
    <row r="260">
      <c r="A260" s="8" t="inlineStr"/>
    </row>
    <row r="261">
      <c r="A261" s="8" t="inlineStr">
        <is>
          <t>function sabahOzeti() {</t>
        </is>
      </c>
    </row>
    <row r="262">
      <c r="A262" s="8" t="inlineStr">
        <is>
          <t xml:space="preserve">  if (!AYAR.MELIS_EMAIL) return;</t>
        </is>
      </c>
    </row>
    <row r="263">
      <c r="A263" s="8" t="inlineStr">
        <is>
          <t xml:space="preserve">  const sh = ss().getSheetByName(SEKME.ADAY);</t>
        </is>
      </c>
    </row>
    <row r="264">
      <c r="A264" s="8" t="inlineStr">
        <is>
          <t xml:space="preserve">  if (sh.getLastRow() &lt; 2) return;</t>
        </is>
      </c>
    </row>
    <row r="265">
      <c r="A265" s="8" t="inlineStr">
        <is>
          <t xml:space="preserve">  const bitis = gunEkle(bugun(), 1);</t>
        </is>
      </c>
    </row>
    <row r="266">
      <c r="A266" s="8" t="inlineStr">
        <is>
          <t xml:space="preserve">  const kapali = ['8-KAYIT OLDU', '9-Kaybedildi', '10-Sonraki dönem'];</t>
        </is>
      </c>
    </row>
    <row r="267">
      <c r="A267" s="8" t="inlineStr"/>
    </row>
    <row r="268">
      <c r="A268" s="8" t="inlineStr">
        <is>
          <t xml:space="preserve">  const liste = sh.getRange(2, 1, sh.getLastRow() - 1, K.ID).getValues()</t>
        </is>
      </c>
    </row>
    <row r="269">
      <c r="A269" s="8" t="inlineStr">
        <is>
          <t xml:space="preserve">    .filter(r =&gt; r[K.AD - 1] &amp;&amp; !kapali.includes(r[K.DURUM - 1]))</t>
        </is>
      </c>
    </row>
    <row r="270">
      <c r="A270" s="8" t="inlineStr">
        <is>
          <t xml:space="preserve">    .filter(r =&gt; r[K.DURUM - 1] === '1-Yeni' || (r[K.SONRAKI_TARIH - 1] instanceof Date &amp;&amp; r[K.SONRAKI_TARIH - 1] &lt; bitis))</t>
        </is>
      </c>
    </row>
    <row r="271">
      <c r="A271" s="8" t="inlineStr">
        <is>
          <t xml:space="preserve">    .sort((a, b) =&gt; String(a[K.DURUM - 1]).localeCompare(String(b[K.DURUM - 1]), 'tr'));</t>
        </is>
      </c>
    </row>
    <row r="272">
      <c r="A272" s="8" t="inlineStr"/>
    </row>
    <row r="273">
      <c r="A273" s="8" t="inlineStr">
        <is>
          <t xml:space="preserve">  if (!liste.length) return;</t>
        </is>
      </c>
    </row>
    <row r="274">
      <c r="A274" s="8" t="inlineStr">
        <is>
          <t xml:space="preserve">  const satirlar = liste.map(r =&gt; `&lt;tr&gt;</t>
        </is>
      </c>
    </row>
    <row r="275">
      <c r="A275" s="8" t="inlineStr">
        <is>
          <t xml:space="preserve">      &lt;td style="padding:6px 10px"&gt;${r[K.AD - 1]}&lt;/td&gt;</t>
        </is>
      </c>
    </row>
    <row r="276">
      <c r="A276" s="8" t="inlineStr">
        <is>
          <t xml:space="preserve">      &lt;td style="padding:6px 10px"&gt;${r[K.PROGRAM - 1]}&lt;/td&gt;</t>
        </is>
      </c>
    </row>
    <row r="277">
      <c r="A277" s="8" t="inlineStr">
        <is>
          <t xml:space="preserve">      &lt;td style="padding:6px 10px"&gt;${String(r[K.TEL - 1]).replace(/^'/, '')}&lt;/td&gt;</t>
        </is>
      </c>
    </row>
    <row r="278">
      <c r="A278" s="8" t="inlineStr">
        <is>
          <t xml:space="preserve">      &lt;td style="padding:6px 10px"&gt;${r[K.DURUM - 1]}&lt;/td&gt;</t>
        </is>
      </c>
    </row>
    <row r="279">
      <c r="A279" s="8" t="inlineStr">
        <is>
          <t xml:space="preserve">      &lt;td style="padding:6px 10px"&gt;${r[K.SONRAKI - 1]}&lt;/td&gt;&lt;/tr&gt;`).join('');</t>
        </is>
      </c>
    </row>
    <row r="280">
      <c r="A280" s="8" t="inlineStr"/>
    </row>
    <row r="281">
      <c r="A281" s="8" t="inlineStr">
        <is>
          <t xml:space="preserve">  MailApp.sendEmail({</t>
        </is>
      </c>
    </row>
    <row r="282">
      <c r="A282" s="8" t="inlineStr">
        <is>
          <t xml:space="preserve">    to: AYAR.MELIS_EMAIL,</t>
        </is>
      </c>
    </row>
    <row r="283">
      <c r="A283" s="8" t="inlineStr">
        <is>
          <t xml:space="preserve">    subject: `Bugün aranacaklar · ${liste.length} kişi`,</t>
        </is>
      </c>
    </row>
    <row r="284">
      <c r="A284" s="8" t="inlineStr">
        <is>
          <t xml:space="preserve">    htmlBody: `&lt;p&gt;Günaydın Melis, bugünün listesi aşağıda. Her görüşmeden sonra DURUM sütununu güncellemen yeterli.&lt;/p&gt;</t>
        </is>
      </c>
    </row>
    <row r="285">
      <c r="A285" s="8" t="inlineStr">
        <is>
          <t xml:space="preserve">      &lt;table style="border-collapse:collapse;font-family:Arial;font-size:13px"&gt;</t>
        </is>
      </c>
    </row>
    <row r="286">
      <c r="A286" s="8" t="inlineStr">
        <is>
          <t xml:space="preserve">      &lt;tr style="background:#0A0A0C;color:#C8FF00"&gt;&lt;th style="padding:6px 10px;text-align:left"&gt;Ad&lt;/th&gt;</t>
        </is>
      </c>
    </row>
    <row r="287">
      <c r="A287" s="8" t="inlineStr">
        <is>
          <t xml:space="preserve">      &lt;th style="padding:6px 10px;text-align:left"&gt;Program&lt;/th&gt;&lt;th style="padding:6px 10px;text-align:left"&gt;Telefon&lt;/th&gt;</t>
        </is>
      </c>
    </row>
    <row r="288">
      <c r="A288" s="8" t="inlineStr">
        <is>
          <t xml:space="preserve">      &lt;th style="padding:6px 10px;text-align:left"&gt;Durum&lt;/th&gt;&lt;th style="padding:6px 10px;text-align:left"&gt;Sonraki adım&lt;/th&gt;&lt;/tr&gt;</t>
        </is>
      </c>
    </row>
    <row r="289">
      <c r="A289" s="8" t="inlineStr">
        <is>
          <t xml:space="preserve">      ${satirlar}&lt;/table&gt;</t>
        </is>
      </c>
    </row>
    <row r="290">
      <c r="A290" s="8" t="inlineStr">
        <is>
          <t xml:space="preserve">      &lt;p&gt;&lt;a href="${ss().getUrl()}"&gt;Operasyon tablosunu aç&lt;/a&gt;&lt;/p&gt;`,</t>
        </is>
      </c>
    </row>
    <row r="291">
      <c r="A291" s="8" t="inlineStr">
        <is>
          <t xml:space="preserve">  });</t>
        </is>
      </c>
    </row>
    <row r="292">
      <c r="A292" s="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2026-09-17T16:40:55Z</dcterms:created>
  <dcterms:modified xsi:type="dcterms:W3CDTF">2026-09-17T16:40:55Z</dcterms:modified>
</cp:coreProperties>
</file>