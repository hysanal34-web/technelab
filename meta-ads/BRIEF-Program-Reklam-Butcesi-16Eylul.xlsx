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klam Brief"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Techne Lab</author>
  </authors>
  <commentList>
    <comment ref="G10" authorId="0">
      <text>
        <r>
          <rPr>
            <sz val="10"/>
            <rFont val="Arial"/>
            <family val="2"/>
          </rPr>
          <t xml:space="preserve">Kayıt tablosunda bu program için ayrı sekme bulunamadı — güncel dolu sayısı teyit edilmeli.</t>
        </r>
      </text>
    </comment>
  </commentList>
</comments>
</file>

<file path=xl/sharedStrings.xml><?xml version="1.0" encoding="utf-8"?>
<sst xmlns="http://schemas.openxmlformats.org/spreadsheetml/2006/main" count="65" uniqueCount="61">
  <si>
    <t xml:space="preserve">TECHNE LAB İSTANBUL — PROGRAM &amp; REKLAM BÜTÇESİ BRİEFİ</t>
  </si>
  <si>
    <t xml:space="preserve">16 Eylül 2026 · Meta reklam uzmanına verilecek çalışma dosyası · fiyatlar, hedef kitle, kapasite ve önerilen günlük bütçe</t>
  </si>
  <si>
    <t xml:space="preserve">Program</t>
  </si>
  <si>
    <t xml:space="preserve">Konum</t>
  </si>
  <si>
    <t xml:space="preserve">Süre / Format</t>
  </si>
  <si>
    <t xml:space="preserve">Tepe Fiyat</t>
  </si>
  <si>
    <t xml:space="preserve">Dip/Son Fiyat</t>
  </si>
  <si>
    <t xml:space="preserve">Kapasite
(hedef)</t>
  </si>
  <si>
    <t xml:space="preserve">Mevcut
Kayıt</t>
  </si>
  <si>
    <t xml:space="preserve">Boş Yer</t>
  </si>
  <si>
    <t xml:space="preserve">Kalan Gelir
Potansiyeli</t>
  </si>
  <si>
    <t xml:space="preserve">Ölçeklenebilirlik</t>
  </si>
  <si>
    <t xml:space="preserve">Hedef Kitle</t>
  </si>
  <si>
    <t xml:space="preserve">Geçmiş Meta Performansı</t>
  </si>
  <si>
    <t xml:space="preserve">Notlar</t>
  </si>
  <si>
    <t xml:space="preserve">Önerilen Günlük
Bütçe (₺)</t>
  </si>
  <si>
    <t xml:space="preserve">Bütçe
Payı</t>
  </si>
  <si>
    <t xml:space="preserve">Techne Musical Lab</t>
  </si>
  <si>
    <t xml:space="preserve">Kadıköy</t>
  </si>
  <si>
    <t xml:space="preserve">8 ay (Eki–May) · yıl sonu gösteri</t>
  </si>
  <si>
    <t xml:space="preserve">Sınırlı</t>
  </si>
  <si>
    <t xml:space="preserve">Ciddi müzikal/sahne tutkunu yetişkinler, 15–55 yaş, mali durumu iyi (yüksek fiyat bandı zaten filtreliyor)</t>
  </si>
  <si>
    <t xml:space="preserve">En iyi tık→mesaj oranı hesapta (%40,8) · mesaj başı en ucuz (₺71) · CAC bilet fiyatının yalnızca %4,4'ü</t>
  </si>
  <si>
    <t xml:space="preserve">Tek eğitmen ikilisi + sabit 15 kişilik kontenjan — bütçeyi artırsak da satabileceğimiz yer sınırlı, o yüzden orta bütçe yeterli.</t>
  </si>
  <si>
    <t xml:space="preserve">English Acting Praxis</t>
  </si>
  <si>
    <t xml:space="preserve">Taksim Pera</t>
  </si>
  <si>
    <t xml:space="preserve">3 ay</t>
  </si>
  <si>
    <t xml:space="preserve">Profesyonel oyuncu adayları + ileri seviye İngilizce konuşan, mali durumu iyi yetişkinler</t>
  </si>
  <si>
    <t xml:space="preserve">Hesabın en zayıf tık→mesaj oranı (%4,3) · 15 Eylül'de kreatif Türkçeye çevrildi, sonuç henüz ölçülmedi</t>
  </si>
  <si>
    <t xml:space="preserve">14 kişilik sabit kontenjan, tek grup — ölçek sınırlı. Kreatif düzeltmesinin sonucunu 2 hafta izleyip bütçeyi ona göre ayarla.</t>
  </si>
  <si>
    <t xml:space="preserve">English Drama Lab (yetişkin)</t>
  </si>
  <si>
    <t xml:space="preserve">Taksim Pera + Kadıköy · hafta içi ve hafta sonu sınıfları</t>
  </si>
  <si>
    <t xml:space="preserve">3 ay (aylık 9.000₺ / 3 ay paket)</t>
  </si>
  <si>
    <t xml:space="preserve">YÜKSEK</t>
  </si>
  <si>
    <t xml:space="preserve">Beyaz yakalı, kurumsal profesyoneller — İngilizce pratiği ve konuşma özgüveni arayan, mali durumu iyi, 28–45 yaş ağırlıklı, iş merkezlerine yakın oturan</t>
  </si>
  <si>
    <t xml:space="preserve">Orta düzey tık→mesaj (%18,2) · CAC bilet fiyatının %25'i</t>
  </si>
  <si>
    <t xml:space="preserve">İki yakada, hafta içi+hafta sonu ayrı sınıf açma kapasitesi var — en fazla büyütülebilir program. Kapasite 48 = 12 kişi/grup × 2 lokasyon × 2 zaman dilimi varsayımı, teyit edilmeli.</t>
  </si>
  <si>
    <t xml:space="preserve">English Drama Youth (10–17)</t>
  </si>
  <si>
    <t xml:space="preserve">Kadıköy + Taksim Pera · birer sınıf</t>
  </si>
  <si>
    <t xml:space="preserve">8 ay · yıl sonu İngilizce gösteri</t>
  </si>
  <si>
    <t xml:space="preserve">Orta</t>
  </si>
  <si>
    <t xml:space="preserve">Veliler — beyaz yakalı, çocuğunun eğitimine yatırım yapan, mali durumu iyi aileler. Çocuk: B1 ve üzeri İngilizce, 10–17 yaş</t>
  </si>
  <si>
    <t xml:space="preserve">Huni kırığı: 107 mesajdan yalnızca 1 form — reklam ilgi çekiyor, DM yanıt süreci tıkanıyor</t>
  </si>
  <si>
    <t xml:space="preserve">2 lokasyon açık, büyüme alanı var ama DM/yanıt süreci düzelmeden bütçe artışı boşa gidiyor. Önce mesaj şablonu + hızlı yanıt kurulmalı.</t>
  </si>
  <si>
    <t xml:space="preserve">Broadway Musical Dance</t>
  </si>
  <si>
    <t xml:space="preserve">Taksim Pera (max 15) + Kadıköy (max 25)</t>
  </si>
  <si>
    <t xml:space="preserve">6 hafta (12.000₺) veya 12 hafta (19.000₺) paket</t>
  </si>
  <si>
    <t xml:space="preserve">Mali durumu iyi yetişkinler, dans/müzikal tutkunu, hem kadın hem erkek, 20–50 yaş</t>
  </si>
  <si>
    <t xml:space="preserve">Hesabın en zayıf CAC'ı (%43,2 — bilet küçük, reklam payı yüksek) · katılım sayısı en düşük program</t>
  </si>
  <si>
    <t xml:space="preserve">İki lokasyonda toplam 40 kişilik kontenjanla en geniş kapasiteli program — Musical Lab lansmanıyla kitle bir miktar oraya kaydı, ayrışan bir kreatif gerekiyor. Mevcut kadın-only hedefleme kaldırılmalı.</t>
  </si>
  <si>
    <t xml:space="preserve">The Auteur Lab</t>
  </si>
  <si>
    <t xml:space="preserve">8 hafta (2 ay)</t>
  </si>
  <si>
    <t xml:space="preserve">Yazma tutkunu, entelektüel meraklı yetişkinler, mali durumu iyi, 25–45 yaş</t>
  </si>
  <si>
    <t xml:space="preserve">Hesabın en kötü CAC'ı (%152 — reklam harcaması bilet fiyatını aşıyor)</t>
  </si>
  <si>
    <t xml:space="preserve">10 kişilik sabit atölye, tek eğitmen — ölçek yok. En düşük öncelikli bütçe; asıl kazanç organik/direkt kayıttan gelmeli.</t>
  </si>
  <si>
    <t xml:space="preserve">TOPLAM / GÜNLÜK</t>
  </si>
  <si>
    <t xml:space="preserve">Aylık karşılığı (×30 gün):</t>
  </si>
  <si>
    <t xml:space="preserve">Not:</t>
  </si>
  <si>
    <t xml:space="preserve">Tepe fiyat = liste/tam fiyat, Dip/Son fiyat = kabul edilen en düşük satış fiyatı. "Kalan Gelir Potansiyeli" = Boş Yer × Dip Fiyat (muhafazakâr tahmin). "Ölçeklenebilirlik": program yapısı (eğitmen sayısı, kontenjan esnekliği) daha fazla sınıf açmaya izin veriyor mu?</t>
  </si>
  <si>
    <t xml:space="preserve">Genel hedef kitle notu:</t>
  </si>
  <si>
    <t xml:space="preserve">Techne Lab'in genel hedef kitlesi beyaz yakalı, mali durumu iyi yetişkinler. İngilizce Drama Lab ve Broadway Musical Dance, sınıf açma kapasitesi en esnek iki program olduğu için bütçenin büyük kısmı burada — diğer dört program (Musical Lab, Praxis, Youth, Auteur Lab) sabit/küçük kontenjanlı olduğundan "ağır top": bütçe artışı satış hacmini aynı oranda büyütmüyor.</t>
  </si>
</sst>
</file>

<file path=xl/styles.xml><?xml version="1.0" encoding="utf-8"?>
<styleSheet xmlns="http://schemas.openxmlformats.org/spreadsheetml/2006/main">
  <numFmts count="4">
    <numFmt numFmtId="164" formatCode="General"/>
    <numFmt numFmtId="165" formatCode="#,##0&quot; ₺&quot;;\(#,##0&quot; ₺)&quot;;\-"/>
    <numFmt numFmtId="166" formatCode="#,##0"/>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555555"/>
      <name val="Arial"/>
      <family val="0"/>
      <charset val="1"/>
    </font>
    <font>
      <b val="true"/>
      <sz val="9"/>
      <color rgb="FFFFFFFF"/>
      <name val="Arial"/>
      <family val="0"/>
      <charset val="1"/>
    </font>
    <font>
      <b val="true"/>
      <sz val="9.5"/>
      <color rgb="FF000000"/>
      <name val="Arial"/>
      <family val="0"/>
      <charset val="1"/>
    </font>
    <font>
      <sz val="9"/>
      <color rgb="FF000000"/>
      <name val="Arial"/>
      <family val="0"/>
      <charset val="1"/>
    </font>
    <font>
      <sz val="10"/>
      <color rgb="FF0000FF"/>
      <name val="Arial"/>
      <family val="0"/>
      <charset val="1"/>
    </font>
    <font>
      <sz val="10"/>
      <color rgb="FF000000"/>
      <name val="Arial"/>
      <family val="0"/>
      <charset val="1"/>
    </font>
    <font>
      <b val="true"/>
      <sz val="10"/>
      <color rgb="FF990000"/>
      <name val="Arial"/>
      <family val="0"/>
      <charset val="1"/>
    </font>
    <font>
      <sz val="8.5"/>
      <color rgb="FF000000"/>
      <name val="Arial"/>
      <family val="0"/>
      <charset val="1"/>
    </font>
    <font>
      <i val="true"/>
      <sz val="8.5"/>
      <color rgb="FF000000"/>
      <name val="Arial"/>
      <family val="0"/>
      <charset val="1"/>
    </font>
    <font>
      <b val="true"/>
      <sz val="10"/>
      <color rgb="FF0000FF"/>
      <name val="Arial"/>
      <family val="0"/>
      <charset val="1"/>
    </font>
    <font>
      <b val="true"/>
      <sz val="10"/>
      <color rgb="FF0A7A00"/>
      <name val="Arial"/>
      <family val="0"/>
      <charset val="1"/>
    </font>
    <font>
      <b val="true"/>
      <sz val="10"/>
      <color rgb="FF8A6D00"/>
      <name val="Arial"/>
      <family val="0"/>
      <charset val="1"/>
    </font>
    <font>
      <i val="true"/>
      <sz val="10"/>
      <color rgb="FFCC0000"/>
      <name val="Arial"/>
      <family val="0"/>
      <charset val="1"/>
    </font>
    <font>
      <b val="true"/>
      <sz val="10"/>
      <color rgb="FF000000"/>
      <name val="Arial"/>
      <family val="0"/>
      <charset val="1"/>
    </font>
    <font>
      <i val="true"/>
      <sz val="8.5"/>
      <color rgb="FF555555"/>
      <name val="Arial"/>
      <family val="0"/>
      <charset val="1"/>
    </font>
    <font>
      <sz val="10"/>
      <name val="Arial"/>
      <family val="2"/>
    </font>
  </fonts>
  <fills count="5">
    <fill>
      <patternFill patternType="none"/>
    </fill>
    <fill>
      <patternFill patternType="gray125"/>
    </fill>
    <fill>
      <patternFill patternType="solid">
        <fgColor rgb="FF0A0A0C"/>
        <bgColor rgb="FF000000"/>
      </patternFill>
    </fill>
    <fill>
      <patternFill patternType="solid">
        <fgColor rgb="FF1E1E22"/>
        <bgColor rgb="FF0A0A0C"/>
      </patternFill>
    </fill>
    <fill>
      <patternFill patternType="solid">
        <fgColor rgb="FFFFFF00"/>
        <bgColor rgb="FFFFFF00"/>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6" fontId="10" fillId="0" borderId="2" xfId="0" applyFont="true" applyBorder="true" applyAlignment="true" applyProtection="false">
      <alignment horizontal="center"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5" fontId="14" fillId="0" borderId="2" xfId="0" applyFont="true" applyBorder="true" applyAlignment="true" applyProtection="false">
      <alignment horizontal="right" vertical="center" textRotation="0" wrapText="fals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64" fontId="18" fillId="4" borderId="2" xfId="0" applyFont="true" applyBorder="true" applyAlignment="true" applyProtection="false">
      <alignment horizontal="lef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8" fillId="4" borderId="2" xfId="0" applyFont="true" applyBorder="true" applyAlignment="true" applyProtection="false">
      <alignment horizontal="center" vertical="center" textRotation="0" wrapText="false" indent="0" shrinkToFit="false"/>
      <protection locked="true" hidden="false"/>
    </xf>
    <xf numFmtId="165" fontId="18" fillId="4" borderId="2" xfId="0" applyFont="true" applyBorder="true" applyAlignment="true" applyProtection="false">
      <alignment horizontal="right" vertical="center" textRotation="0" wrapText="false" indent="0" shrinkToFit="false"/>
      <protection locked="true" hidden="false"/>
    </xf>
    <xf numFmtId="167" fontId="18" fillId="4" borderId="2" xfId="0" applyFont="true" applyBorder="true" applyAlignment="true" applyProtection="false">
      <alignment horizontal="center" vertical="center" textRotation="0" wrapText="false" indent="0" shrinkToFit="false"/>
      <protection locked="true" hidden="false"/>
    </xf>
    <xf numFmtId="164" fontId="18" fillId="0" borderId="2" xfId="0" applyFont="true" applyBorder="true" applyAlignment="true" applyProtection="false">
      <alignment horizontal="left" vertical="center" textRotation="0" wrapText="false" indent="0" shrinkToFit="false"/>
      <protection locked="true" hidden="false"/>
    </xf>
    <xf numFmtId="165" fontId="18" fillId="0" borderId="2"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90000"/>
      <rgbColor rgb="FF0A7A00"/>
      <rgbColor rgb="FF000080"/>
      <rgbColor rgb="FF8A6D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A0A0C"/>
      <rgbColor rgb="FF333300"/>
      <rgbColor rgb="FF993300"/>
      <rgbColor rgb="FF993366"/>
      <rgbColor rgb="FF333399"/>
      <rgbColor rgb="FF1E1E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22"/>
    <col collapsed="false" customWidth="true" hidden="false" outlineLevel="0" max="5" min="4" style="0" width="12"/>
    <col collapsed="false" customWidth="true" hidden="false" outlineLevel="0" max="8" min="6" style="0" width="9"/>
    <col collapsed="false" customWidth="true" hidden="false" outlineLevel="0" max="9" min="9" style="0" width="14"/>
    <col collapsed="false" customWidth="true" hidden="false" outlineLevel="0" max="10" min="10" style="0" width="12"/>
    <col collapsed="false" customWidth="true" hidden="false" outlineLevel="0" max="12" min="11" style="0" width="30"/>
    <col collapsed="false" customWidth="true" hidden="false" outlineLevel="0" max="13" min="13" style="0" width="32"/>
    <col collapsed="false" customWidth="true" hidden="false" outlineLevel="0" max="14" min="14" style="0" width="14"/>
    <col collapsed="false" customWidth="true" hidden="false" outlineLevel="0" max="15" min="15" style="0" width="9"/>
  </cols>
  <sheetData>
    <row r="1" customFormat="false" ht="25.5" hidden="false" customHeight="true" outlineLevel="0" collapsed="false">
      <c r="A1" s="1" t="s">
        <v>0</v>
      </c>
      <c r="B1" s="1"/>
      <c r="C1" s="1"/>
      <c r="D1" s="1"/>
      <c r="E1" s="1"/>
      <c r="F1" s="1"/>
      <c r="G1" s="1"/>
      <c r="H1" s="1"/>
      <c r="I1" s="1"/>
      <c r="J1" s="1"/>
      <c r="K1" s="1"/>
      <c r="L1" s="1"/>
      <c r="M1" s="1"/>
      <c r="N1" s="1"/>
      <c r="O1" s="1"/>
    </row>
    <row r="2" customFormat="false" ht="18" hidden="false" customHeight="true" outlineLevel="0" collapsed="false">
      <c r="A2" s="2" t="s">
        <v>1</v>
      </c>
      <c r="B2" s="2"/>
      <c r="C2" s="2"/>
      <c r="D2" s="2"/>
      <c r="E2" s="2"/>
      <c r="F2" s="2"/>
      <c r="G2" s="2"/>
      <c r="H2" s="2"/>
      <c r="I2" s="2"/>
      <c r="J2" s="2"/>
      <c r="K2" s="2"/>
      <c r="L2" s="2"/>
      <c r="M2" s="2"/>
      <c r="N2" s="2"/>
      <c r="O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69.75" hidden="false" customHeight="true" outlineLevel="0" collapsed="false">
      <c r="A5" s="4" t="s">
        <v>17</v>
      </c>
      <c r="B5" s="5" t="s">
        <v>18</v>
      </c>
      <c r="C5" s="5" t="s">
        <v>19</v>
      </c>
      <c r="D5" s="6" t="n">
        <v>140000</v>
      </c>
      <c r="E5" s="6" t="n">
        <v>105000</v>
      </c>
      <c r="F5" s="7" t="n">
        <v>15</v>
      </c>
      <c r="G5" s="7" t="n">
        <v>9</v>
      </c>
      <c r="H5" s="8" t="n">
        <f aca="false">F5-G5</f>
        <v>6</v>
      </c>
      <c r="I5" s="9" t="n">
        <f aca="false">H5*E5</f>
        <v>630000</v>
      </c>
      <c r="J5" s="10" t="s">
        <v>20</v>
      </c>
      <c r="K5" s="11" t="s">
        <v>21</v>
      </c>
      <c r="L5" s="11" t="s">
        <v>22</v>
      </c>
      <c r="M5" s="12" t="s">
        <v>23</v>
      </c>
      <c r="N5" s="13" t="n">
        <v>600</v>
      </c>
      <c r="O5" s="14" t="n">
        <f aca="false">N5/N$11</f>
        <v>0.13953488372093</v>
      </c>
    </row>
    <row r="6" customFormat="false" ht="69.75" hidden="false" customHeight="true" outlineLevel="0" collapsed="false">
      <c r="A6" s="4" t="s">
        <v>24</v>
      </c>
      <c r="B6" s="5" t="s">
        <v>25</v>
      </c>
      <c r="C6" s="5" t="s">
        <v>26</v>
      </c>
      <c r="D6" s="6" t="n">
        <v>59000</v>
      </c>
      <c r="E6" s="6" t="n">
        <v>45000</v>
      </c>
      <c r="F6" s="7" t="n">
        <v>14</v>
      </c>
      <c r="G6" s="7" t="n">
        <v>7</v>
      </c>
      <c r="H6" s="8" t="n">
        <f aca="false">F6-G6</f>
        <v>7</v>
      </c>
      <c r="I6" s="9" t="n">
        <f aca="false">H6*E6</f>
        <v>315000</v>
      </c>
      <c r="J6" s="10" t="s">
        <v>20</v>
      </c>
      <c r="K6" s="11" t="s">
        <v>27</v>
      </c>
      <c r="L6" s="11" t="s">
        <v>28</v>
      </c>
      <c r="M6" s="12" t="s">
        <v>29</v>
      </c>
      <c r="N6" s="13" t="n">
        <v>500</v>
      </c>
      <c r="O6" s="14" t="n">
        <f aca="false">N6/N$11</f>
        <v>0.116279069767442</v>
      </c>
    </row>
    <row r="7" customFormat="false" ht="69.75" hidden="false" customHeight="true" outlineLevel="0" collapsed="false">
      <c r="A7" s="4" t="s">
        <v>30</v>
      </c>
      <c r="B7" s="5" t="s">
        <v>31</v>
      </c>
      <c r="C7" s="5" t="s">
        <v>32</v>
      </c>
      <c r="D7" s="6" t="n">
        <v>24000</v>
      </c>
      <c r="E7" s="6" t="n">
        <v>19000</v>
      </c>
      <c r="F7" s="7" t="n">
        <v>48</v>
      </c>
      <c r="G7" s="7" t="n">
        <v>11</v>
      </c>
      <c r="H7" s="8" t="n">
        <f aca="false">F7-G7</f>
        <v>37</v>
      </c>
      <c r="I7" s="9" t="n">
        <f aca="false">H7*E7</f>
        <v>703000</v>
      </c>
      <c r="J7" s="15" t="s">
        <v>33</v>
      </c>
      <c r="K7" s="11" t="s">
        <v>34</v>
      </c>
      <c r="L7" s="11" t="s">
        <v>35</v>
      </c>
      <c r="M7" s="12" t="s">
        <v>36</v>
      </c>
      <c r="N7" s="13" t="n">
        <v>1400</v>
      </c>
      <c r="O7" s="14" t="n">
        <f aca="false">N7/N$11</f>
        <v>0.325581395348837</v>
      </c>
    </row>
    <row r="8" customFormat="false" ht="69.75" hidden="false" customHeight="true" outlineLevel="0" collapsed="false">
      <c r="A8" s="4" t="s">
        <v>37</v>
      </c>
      <c r="B8" s="5" t="s">
        <v>38</v>
      </c>
      <c r="C8" s="5" t="s">
        <v>39</v>
      </c>
      <c r="D8" s="6" t="n">
        <v>128000</v>
      </c>
      <c r="E8" s="6" t="n">
        <v>99000</v>
      </c>
      <c r="F8" s="7" t="n">
        <v>24</v>
      </c>
      <c r="G8" s="7" t="n">
        <v>4</v>
      </c>
      <c r="H8" s="8" t="n">
        <f aca="false">F8-G8</f>
        <v>20</v>
      </c>
      <c r="I8" s="9" t="n">
        <f aca="false">H8*E8</f>
        <v>1980000</v>
      </c>
      <c r="J8" s="16" t="s">
        <v>40</v>
      </c>
      <c r="K8" s="11" t="s">
        <v>41</v>
      </c>
      <c r="L8" s="11" t="s">
        <v>42</v>
      </c>
      <c r="M8" s="12" t="s">
        <v>43</v>
      </c>
      <c r="N8" s="13" t="n">
        <v>400</v>
      </c>
      <c r="O8" s="14" t="n">
        <f aca="false">N8/N$11</f>
        <v>0.0930232558139535</v>
      </c>
    </row>
    <row r="9" customFormat="false" ht="69.75" hidden="false" customHeight="true" outlineLevel="0" collapsed="false">
      <c r="A9" s="4" t="s">
        <v>44</v>
      </c>
      <c r="B9" s="5" t="s">
        <v>45</v>
      </c>
      <c r="C9" s="5" t="s">
        <v>46</v>
      </c>
      <c r="D9" s="6" t="n">
        <v>19000</v>
      </c>
      <c r="E9" s="6" t="n">
        <v>12000</v>
      </c>
      <c r="F9" s="7" t="n">
        <v>40</v>
      </c>
      <c r="G9" s="7" t="n">
        <v>8</v>
      </c>
      <c r="H9" s="8" t="n">
        <f aca="false">F9-G9</f>
        <v>32</v>
      </c>
      <c r="I9" s="9" t="n">
        <f aca="false">H9*E9</f>
        <v>384000</v>
      </c>
      <c r="J9" s="15" t="s">
        <v>33</v>
      </c>
      <c r="K9" s="11" t="s">
        <v>47</v>
      </c>
      <c r="L9" s="11" t="s">
        <v>48</v>
      </c>
      <c r="M9" s="12" t="s">
        <v>49</v>
      </c>
      <c r="N9" s="13" t="n">
        <v>1100</v>
      </c>
      <c r="O9" s="14" t="n">
        <f aca="false">N9/N$11</f>
        <v>0.255813953488372</v>
      </c>
    </row>
    <row r="10" customFormat="false" ht="69.75" hidden="false" customHeight="true" outlineLevel="0" collapsed="false">
      <c r="A10" s="4" t="s">
        <v>50</v>
      </c>
      <c r="B10" s="5" t="s">
        <v>18</v>
      </c>
      <c r="C10" s="5" t="s">
        <v>51</v>
      </c>
      <c r="D10" s="6" t="n">
        <v>18000</v>
      </c>
      <c r="E10" s="6" t="n">
        <v>15000</v>
      </c>
      <c r="F10" s="7" t="n">
        <v>10</v>
      </c>
      <c r="G10" s="17" t="n">
        <v>0</v>
      </c>
      <c r="H10" s="8" t="n">
        <f aca="false">F10-G10</f>
        <v>10</v>
      </c>
      <c r="I10" s="9" t="n">
        <f aca="false">H10*E10</f>
        <v>150000</v>
      </c>
      <c r="J10" s="10" t="s">
        <v>20</v>
      </c>
      <c r="K10" s="11" t="s">
        <v>52</v>
      </c>
      <c r="L10" s="11" t="s">
        <v>53</v>
      </c>
      <c r="M10" s="12" t="s">
        <v>54</v>
      </c>
      <c r="N10" s="13" t="n">
        <v>300</v>
      </c>
      <c r="O10" s="14" t="n">
        <f aca="false">N10/N$11</f>
        <v>0.0697674418604651</v>
      </c>
    </row>
    <row r="11" customFormat="false" ht="19.5" hidden="false" customHeight="true" outlineLevel="0" collapsed="false">
      <c r="A11" s="18" t="s">
        <v>55</v>
      </c>
      <c r="B11" s="19"/>
      <c r="C11" s="19"/>
      <c r="D11" s="19"/>
      <c r="E11" s="19"/>
      <c r="F11" s="20" t="n">
        <f aca="false">SUM(F5:F10)</f>
        <v>151</v>
      </c>
      <c r="G11" s="20" t="n">
        <f aca="false">SUM(G5:G10)</f>
        <v>39</v>
      </c>
      <c r="H11" s="20" t="n">
        <f aca="false">SUM(H5:H10)</f>
        <v>112</v>
      </c>
      <c r="I11" s="21" t="n">
        <f aca="false">SUM(I5:I10)</f>
        <v>4162000</v>
      </c>
      <c r="J11" s="19"/>
      <c r="K11" s="19"/>
      <c r="L11" s="19"/>
      <c r="M11" s="19"/>
      <c r="N11" s="21" t="n">
        <f aca="false">SUM(N5:N10)</f>
        <v>4300</v>
      </c>
      <c r="O11" s="22" t="n">
        <f aca="false">SUM(O5:O10)</f>
        <v>1</v>
      </c>
    </row>
    <row r="13" customFormat="false" ht="15" hidden="false" customHeight="false" outlineLevel="0" collapsed="false">
      <c r="A13" s="23" t="s">
        <v>56</v>
      </c>
      <c r="B13" s="24" t="n">
        <f aca="false">N11*30</f>
        <v>129000</v>
      </c>
    </row>
    <row r="14" customFormat="false" ht="15" hidden="false" customHeight="true" outlineLevel="0" collapsed="false">
      <c r="A14" s="23" t="s">
        <v>57</v>
      </c>
      <c r="B14" s="25" t="s">
        <v>58</v>
      </c>
      <c r="C14" s="25"/>
      <c r="D14" s="25"/>
      <c r="E14" s="25"/>
      <c r="F14" s="25"/>
      <c r="G14" s="25"/>
      <c r="H14" s="25"/>
      <c r="I14" s="25"/>
      <c r="J14" s="25"/>
      <c r="K14" s="25"/>
      <c r="L14" s="25"/>
      <c r="M14" s="25"/>
      <c r="N14" s="25"/>
      <c r="O14" s="25"/>
    </row>
    <row r="15" customFormat="false" ht="19.4" hidden="false" customHeight="true" outlineLevel="0" collapsed="false">
      <c r="A15" s="23" t="s">
        <v>59</v>
      </c>
      <c r="B15" s="25" t="s">
        <v>60</v>
      </c>
      <c r="C15" s="25"/>
      <c r="D15" s="25"/>
      <c r="E15" s="25"/>
      <c r="F15" s="25"/>
      <c r="G15" s="25"/>
      <c r="H15" s="25"/>
      <c r="I15" s="25"/>
      <c r="J15" s="25"/>
      <c r="K15" s="25"/>
      <c r="L15" s="25"/>
      <c r="M15" s="25"/>
      <c r="N15" s="25"/>
      <c r="O15" s="25"/>
    </row>
  </sheetData>
  <mergeCells count="4">
    <mergeCell ref="A1:O1"/>
    <mergeCell ref="A2:O2"/>
    <mergeCell ref="B14:O14"/>
    <mergeCell ref="B15:O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2026-09-16T13:11:01Z</dcterms:created>
  <dc:creator>openpyxl</dc:creator>
  <dc:description/>
  <dc:language>en-US</dc:language>
  <cp:lastModifiedBy/>
  <dcterms:modified xsi:type="dcterms:W3CDTF">2026-09-16T13:11:01Z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